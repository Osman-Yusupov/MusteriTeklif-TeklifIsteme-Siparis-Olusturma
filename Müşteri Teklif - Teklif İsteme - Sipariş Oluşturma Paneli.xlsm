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BuÇalışmaKitabı" hidePivotFieldList="1" defaultThemeVersion="202300"/>
  <mc:AlternateContent xmlns:mc="http://schemas.openxmlformats.org/markup-compatibility/2006">
    <mc:Choice Requires="x15">
      <x15ac:absPath xmlns:x15ac="http://schemas.microsoft.com/office/spreadsheetml/2010/11/ac" url="C:\Users\Pc-1\Desktop\"/>
    </mc:Choice>
  </mc:AlternateContent>
  <xr:revisionPtr revIDLastSave="0" documentId="13_ncr:1_{B288D577-229B-43AC-9B9C-329B929A736A}" xr6:coauthVersionLast="47" xr6:coauthVersionMax="47" xr10:uidLastSave="{00000000-0000-0000-0000-000000000000}"/>
  <bookViews>
    <workbookView xWindow="-120" yWindow="-120" windowWidth="29040" windowHeight="15840" tabRatio="795" xr2:uid="{4C471481-196F-4D79-9D2E-9F97C65B2214}"/>
  </bookViews>
  <sheets>
    <sheet name="Dashboard" sheetId="15" r:id="rId1"/>
    <sheet name="Müşteri Teklif Oluşturma Formu" sheetId="12" r:id="rId2"/>
    <sheet name="Genel Müşteri Teklif Özeti" sheetId="6" r:id="rId3"/>
    <sheet name="Birim Bazında MüşeriTeklifÖzeti" sheetId="14" r:id="rId4"/>
    <sheet name="Ayarlar" sheetId="5" r:id="rId5"/>
  </sheets>
  <functionGroups builtInGroupCount="19"/>
  <definedNames>
    <definedName name="_xlnm._FilterDatabase" localSheetId="3" hidden="1">'Birim Bazında MüşeriTeklifÖzeti'!#REF!</definedName>
    <definedName name="_xleta.DURATION" hidden="1" xlm="1">#NAME?</definedName>
    <definedName name="_xleta.VAR" hidden="1" xlm="1">#NAME?</definedName>
    <definedName name="Aylar">Tablo12[Aylar]</definedName>
    <definedName name="durum">Ayarlar!$C$2:$C$16</definedName>
    <definedName name="onemDerece">Ayarlar!$B$2:$B$16</definedName>
    <definedName name="paraBirimi">Ayarlar!$G$2:$G$5</definedName>
    <definedName name="sorumlu">Ayarlar!$E$2:$E$16</definedName>
    <definedName name="stok">Tablo12[Durum2]</definedName>
    <definedName name="teklifVeren">Ayarlar!$F$2:$F$16</definedName>
    <definedName name="unvan">Ayarlar!$H$2:$H$5</definedName>
    <definedName name="_xlnm.Print_Area" localSheetId="1">'Müşteri Teklif Oluşturma Formu'!$A$1:$N$41</definedName>
    <definedName name="Yillar2">Tablo12[Yıllar]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15" l="1" a="1"/>
  <c r="F6" i="15" s="1"/>
  <c r="I17" i="15" a="1"/>
  <c r="I17" i="15" s="1"/>
  <c r="H17" i="15" a="1"/>
  <c r="H17" i="15" s="1"/>
  <c r="G17" i="15" a="1"/>
  <c r="G17" i="15" s="1"/>
  <c r="F17" i="15" a="1"/>
  <c r="F17" i="15" s="1"/>
  <c r="E17" i="15" a="1"/>
  <c r="E17" i="15" s="1"/>
  <c r="D17" i="15" a="1"/>
  <c r="D17" i="15" s="1"/>
  <c r="C17" i="15" a="1"/>
  <c r="C17" i="15" s="1"/>
  <c r="I16" i="15" a="1"/>
  <c r="I16" i="15" s="1"/>
  <c r="H16" i="15" a="1"/>
  <c r="H16" i="15" s="1"/>
  <c r="G16" i="15" a="1"/>
  <c r="G16" i="15" s="1"/>
  <c r="F16" i="15" a="1"/>
  <c r="F16" i="15" s="1"/>
  <c r="E16" i="15" a="1"/>
  <c r="E16" i="15" s="1"/>
  <c r="D16" i="15" a="1"/>
  <c r="D16" i="15" s="1"/>
  <c r="C16" i="15" a="1"/>
  <c r="C16" i="15" s="1"/>
  <c r="I15" i="15" a="1"/>
  <c r="I15" i="15" s="1"/>
  <c r="H15" i="15" a="1"/>
  <c r="H15" i="15" s="1"/>
  <c r="G15" i="15" a="1"/>
  <c r="G15" i="15" s="1"/>
  <c r="F15" i="15" a="1"/>
  <c r="F15" i="15" s="1"/>
  <c r="E15" i="15" a="1"/>
  <c r="E15" i="15" s="1"/>
  <c r="D15" i="15" a="1"/>
  <c r="D15" i="15" s="1"/>
  <c r="C15" i="15" a="1"/>
  <c r="C15" i="15" s="1"/>
  <c r="I14" i="15" a="1"/>
  <c r="I14" i="15" s="1"/>
  <c r="H14" i="15" a="1"/>
  <c r="H14" i="15" s="1"/>
  <c r="G14" i="15" a="1"/>
  <c r="G14" i="15" s="1"/>
  <c r="F14" i="15" a="1"/>
  <c r="F14" i="15" s="1"/>
  <c r="E14" i="15" a="1"/>
  <c r="E14" i="15" s="1"/>
  <c r="D14" i="15" a="1"/>
  <c r="D14" i="15" s="1"/>
  <c r="C14" i="15" a="1"/>
  <c r="C14" i="15" s="1"/>
  <c r="I13" i="15" a="1"/>
  <c r="I13" i="15" s="1"/>
  <c r="H13" i="15" a="1"/>
  <c r="H13" i="15" s="1"/>
  <c r="G13" i="15" a="1"/>
  <c r="G13" i="15" s="1"/>
  <c r="F13" i="15" a="1"/>
  <c r="F13" i="15" s="1"/>
  <c r="E13" i="15" a="1"/>
  <c r="E13" i="15" s="1"/>
  <c r="D13" i="15" a="1"/>
  <c r="D13" i="15" s="1"/>
  <c r="C13" i="15" a="1"/>
  <c r="C13" i="15" s="1"/>
  <c r="I12" i="15" a="1"/>
  <c r="I12" i="15" s="1"/>
  <c r="H12" i="15" a="1"/>
  <c r="H12" i="15" s="1"/>
  <c r="G12" i="15" a="1"/>
  <c r="G12" i="15" s="1"/>
  <c r="F12" i="15" a="1"/>
  <c r="F12" i="15" s="1"/>
  <c r="E12" i="15" a="1"/>
  <c r="E12" i="15" s="1"/>
  <c r="D12" i="15" a="1"/>
  <c r="D12" i="15" s="1"/>
  <c r="C12" i="15" a="1"/>
  <c r="C12" i="15" s="1"/>
  <c r="I11" i="15" a="1"/>
  <c r="I11" i="15" s="1"/>
  <c r="H11" i="15" a="1"/>
  <c r="H11" i="15" s="1"/>
  <c r="G11" i="15" a="1"/>
  <c r="G11" i="15" s="1"/>
  <c r="F11" i="15" a="1"/>
  <c r="F11" i="15" s="1"/>
  <c r="E11" i="15" a="1"/>
  <c r="E11" i="15" s="1"/>
  <c r="D11" i="15" a="1"/>
  <c r="D11" i="15" s="1"/>
  <c r="C11" i="15" a="1"/>
  <c r="C11" i="15" s="1"/>
  <c r="N6" i="15" a="1"/>
  <c r="N6" i="15" s="1"/>
  <c r="L6" i="15" a="1"/>
  <c r="L6" i="15" s="1"/>
  <c r="J6" i="15" a="1"/>
  <c r="J6" i="15" s="1"/>
  <c r="H6" i="15" a="1"/>
  <c r="H6" i="15" s="1"/>
  <c r="D6" i="15" a="1"/>
  <c r="D6" i="15" s="1"/>
  <c r="B6" i="15" a="1"/>
  <c r="B6" i="15" s="1"/>
  <c r="I20" i="6"/>
  <c r="I10" i="6"/>
  <c r="L22" i="12"/>
  <c r="P22" i="12" s="1"/>
  <c r="Q22" i="12" s="1"/>
  <c r="I19" i="6"/>
  <c r="I18" i="6"/>
  <c r="I17" i="6"/>
  <c r="I16" i="6"/>
  <c r="I15" i="6"/>
  <c r="I14" i="6"/>
  <c r="I13" i="6"/>
  <c r="I12" i="6"/>
  <c r="I11" i="6"/>
  <c r="I2" i="6"/>
  <c r="I3" i="6"/>
  <c r="I4" i="6"/>
  <c r="I5" i="6"/>
  <c r="I6" i="6"/>
  <c r="I7" i="6"/>
  <c r="I8" i="6"/>
  <c r="I9" i="6"/>
  <c r="P29" i="12"/>
  <c r="P30" i="12"/>
  <c r="P31" i="12"/>
  <c r="Q31" i="12" s="1"/>
  <c r="L28" i="12"/>
  <c r="P28" i="12" s="1"/>
  <c r="Q28" i="12" s="1"/>
  <c r="L27" i="12"/>
  <c r="P27" i="12" s="1"/>
  <c r="Q27" i="12" s="1"/>
  <c r="L26" i="12"/>
  <c r="P26" i="12" s="1"/>
  <c r="Q26" i="12" s="1"/>
  <c r="L25" i="12"/>
  <c r="P25" i="12" s="1"/>
  <c r="L24" i="12"/>
  <c r="P24" i="12" s="1"/>
  <c r="L23" i="12"/>
  <c r="P23" i="12" s="1"/>
  <c r="Q23" i="12" s="1"/>
  <c r="C18" i="15" l="1"/>
  <c r="J11" i="15"/>
  <c r="E18" i="15"/>
  <c r="H18" i="15"/>
  <c r="I18" i="15"/>
  <c r="J16" i="15"/>
  <c r="J15" i="15"/>
  <c r="J14" i="15"/>
  <c r="F18" i="15"/>
  <c r="D18" i="15"/>
  <c r="J13" i="15"/>
  <c r="J12" i="15"/>
  <c r="J17" i="15"/>
  <c r="G18" i="15"/>
  <c r="P33" i="12"/>
  <c r="Q30" i="12"/>
  <c r="Q29" i="12"/>
  <c r="Q24" i="12"/>
  <c r="Q25" i="12"/>
  <c r="N33" i="12"/>
  <c r="J18" i="15" l="1"/>
  <c r="Q33" i="12"/>
  <c r="N34" i="12"/>
  <c r="N35" i="12" s="1"/>
  <c r="N36" i="12" s="1"/>
  <c r="N3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Pc-1</author>
  </authors>
  <commentList>
    <comment ref="C10" authorId="0" shapeId="0" xr:uid="{855F261E-A9C7-40B2-9F27-639785F888BB}">
      <text>
        <r>
          <rPr>
            <b/>
            <sz val="9"/>
            <color indexed="81"/>
            <rFont val="Tahoma"/>
            <family val="2"/>
            <charset val="162"/>
          </rPr>
          <t>Manuel Giriş Yapılır</t>
        </r>
      </text>
    </comment>
    <comment ref="C12" authorId="0" shapeId="0" xr:uid="{1A21A348-3AA3-4DD4-8B6F-22CAD27E84D9}">
      <text>
        <r>
          <rPr>
            <b/>
            <sz val="9"/>
            <color indexed="81"/>
            <rFont val="Tahoma"/>
            <family val="2"/>
            <charset val="162"/>
          </rPr>
          <t>Manuel Giriş Yapılır</t>
        </r>
      </text>
    </comment>
    <comment ref="L13" authorId="0" shapeId="0" xr:uid="{D9EEB7C6-6EB6-48D8-9BEF-607F44EFC523}">
      <text>
        <r>
          <rPr>
            <b/>
            <sz val="9"/>
            <color indexed="81"/>
            <rFont val="Tahoma"/>
            <family val="2"/>
            <charset val="162"/>
          </rPr>
          <t>Manuel Giriş Yapılır</t>
        </r>
      </text>
    </comment>
    <comment ref="L14" authorId="0" shapeId="0" xr:uid="{77A8AF7D-7010-419C-AF6B-C16F0AEE2FC8}">
      <text>
        <r>
          <rPr>
            <b/>
            <sz val="9"/>
            <color indexed="81"/>
            <rFont val="Tahoma"/>
            <family val="2"/>
            <charset val="162"/>
          </rPr>
          <t>Manuel Giriş Yapılır</t>
        </r>
      </text>
    </comment>
    <comment ref="C15" authorId="0" shapeId="0" xr:uid="{F243E759-1B2E-41F2-9995-813C352B0510}">
      <text>
        <r>
          <rPr>
            <b/>
            <sz val="9"/>
            <color indexed="81"/>
            <rFont val="Tahoma"/>
            <family val="2"/>
            <charset val="162"/>
          </rPr>
          <t>Açılır Liste veya Manuel Giriş Yapılır</t>
        </r>
      </text>
    </comment>
    <comment ref="L15" authorId="0" shapeId="0" xr:uid="{F2FF8C08-9514-4A61-8241-AA22DA4B1E09}">
      <text>
        <r>
          <rPr>
            <b/>
            <sz val="9"/>
            <color indexed="81"/>
            <rFont val="Tahoma"/>
            <family val="2"/>
            <charset val="162"/>
          </rPr>
          <t>Manuel Giriş Yapılır</t>
        </r>
      </text>
    </comment>
    <comment ref="C16" authorId="0" shapeId="0" xr:uid="{C3AFFE85-EA80-4B62-855C-18F468DD2FA9}">
      <text>
        <r>
          <rPr>
            <b/>
            <sz val="9"/>
            <color indexed="81"/>
            <rFont val="Tahoma"/>
            <family val="2"/>
            <charset val="162"/>
          </rPr>
          <t>Manuel Giriş veya Açılır Listeden Yapılır</t>
        </r>
        <r>
          <rPr>
            <sz val="9"/>
            <color indexed="81"/>
            <rFont val="Tahoma"/>
            <family val="2"/>
            <charset val="162"/>
          </rPr>
          <t xml:space="preserve">
</t>
        </r>
      </text>
    </comment>
    <comment ref="L16" authorId="0" shapeId="0" xr:uid="{D2F7502E-E399-424F-A247-DFF44A934B37}">
      <text>
        <r>
          <rPr>
            <b/>
            <sz val="10"/>
            <color indexed="81"/>
            <rFont val="Tahoma"/>
            <family val="2"/>
            <charset val="162"/>
          </rPr>
          <t xml:space="preserve">Eğer teklif Müşterinin Teklif numarasına istinaden ilk kaydı ise:  İlk kayıttdan sonra Form üzerinde Miktar birim fiyat değişikliği olduysa Sistem Revizyonu Otomatik Atar. Dilersen Ellede Değiştirip Giriş Yapabilirsin
Farklı Müşteriyede dilersen aynı teklif No İle teklif verebilirsin. Sistem Müşteri Farklı olduğu için bununda kaydını ilk kayıt olarak alır. İlk teklifi verip tekrar revizyon yaparsan miktarda birimde ürün adında o zaman revizyon olarak sistem otomatik devam eder istersen manuelde verebilirsin </t>
        </r>
        <r>
          <rPr>
            <b/>
            <sz val="9"/>
            <color indexed="81"/>
            <rFont val="Tahoma"/>
            <family val="2"/>
            <charset val="162"/>
          </rPr>
          <t xml:space="preserve"> </t>
        </r>
      </text>
    </comment>
    <comment ref="P19" authorId="0" shapeId="0" xr:uid="{E59772BD-1681-4E90-BAA6-6CBDF4814A95}">
      <text>
        <r>
          <rPr>
            <sz val="9"/>
            <color indexed="81"/>
            <rFont val="Tahoma"/>
            <family val="2"/>
            <charset val="162"/>
          </rPr>
          <t xml:space="preserve">İskonto olarak uyguladığın indirimi satır bazında gösterir
</t>
        </r>
      </text>
    </comment>
    <comment ref="Q19" authorId="0" shapeId="0" xr:uid="{66D06991-6116-4117-B606-81A009FF843E}">
      <text>
        <r>
          <rPr>
            <b/>
            <sz val="9"/>
            <color indexed="81"/>
            <rFont val="Tahoma"/>
            <family val="2"/>
            <charset val="162"/>
          </rPr>
          <t>Satır Bazında KDV gösterir</t>
        </r>
        <r>
          <rPr>
            <sz val="9"/>
            <color indexed="81"/>
            <rFont val="Tahoma"/>
            <family val="2"/>
            <charset val="16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<sst xmlns="http://schemas.openxmlformats.org/spreadsheetml/2006/main" count="1153" uniqueCount="153">
  <si>
    <t>Dönem</t>
  </si>
  <si>
    <t>Yıl</t>
  </si>
  <si>
    <t>Teklif Tarihi</t>
  </si>
  <si>
    <t>T.Bitiş Tarihi</t>
  </si>
  <si>
    <t>Para Birimi</t>
  </si>
  <si>
    <t>Miktar</t>
  </si>
  <si>
    <t>Önem Derecesi</t>
  </si>
  <si>
    <t>Durumu</t>
  </si>
  <si>
    <t>Teklif Veren</t>
  </si>
  <si>
    <t>Süreç Sorumlusu</t>
  </si>
  <si>
    <t>Birim Fiyat</t>
  </si>
  <si>
    <t>Genel Toplam</t>
  </si>
  <si>
    <t>T.Bitiş.Kalan Gün</t>
  </si>
  <si>
    <t>Müşteri Adı</t>
  </si>
  <si>
    <t>Ürün Adı</t>
  </si>
  <si>
    <t>Teklif No</t>
  </si>
  <si>
    <t>P.Cinsi</t>
  </si>
  <si>
    <t>Müşteri Teklif Formu</t>
  </si>
  <si>
    <t>Geç.Tarihi</t>
  </si>
  <si>
    <t>B.Fiyat</t>
  </si>
  <si>
    <t>S.Toplam</t>
  </si>
  <si>
    <t>indirim</t>
  </si>
  <si>
    <t>KDV</t>
  </si>
  <si>
    <t>Ara Toplam</t>
  </si>
  <si>
    <t>Aid</t>
  </si>
  <si>
    <t>Durum</t>
  </si>
  <si>
    <t>Sayın:</t>
  </si>
  <si>
    <t>Talebiniz doğrultusunda hazırlanmış olan fiyat teklifimiz ve diğer koşullar aşağıda bilgilerinize sunulmuştur.</t>
  </si>
  <si>
    <t>Revizyon</t>
  </si>
  <si>
    <t>Fiyat teklifimizin olumlu karşılanacağını umar, çalışmalarınızda başarılar dileriz.</t>
  </si>
  <si>
    <r>
      <rPr>
        <b/>
        <sz val="11"/>
        <color rgb="FF000000"/>
        <rFont val="Aptos Narrow"/>
        <family val="2"/>
      </rPr>
      <t>ŞARTLAR:</t>
    </r>
    <r>
      <rPr>
        <sz val="11"/>
        <color theme="1"/>
        <rFont val="Aptos Narrow"/>
        <family val="2"/>
        <charset val="162"/>
        <scheme val="minor"/>
      </rPr>
      <t xml:space="preserve">
</t>
    </r>
    <r>
      <rPr>
        <sz val="10"/>
        <color theme="1"/>
        <rFont val="Aptos Narrow"/>
        <family val="2"/>
        <scheme val="minor"/>
      </rPr>
      <t xml:space="preserve">- </t>
    </r>
    <r>
      <rPr>
        <sz val="10"/>
        <color rgb="FF000000"/>
        <rFont val="Aptos Narrow"/>
        <family val="2"/>
      </rPr>
      <t xml:space="preserve">Fiyatlarımıza 20% KDV dâhil değildir.
- Teklif döviz olarak fiyatlandırılmış ise fatura tarihindeki </t>
    </r>
    <r>
      <rPr>
        <b/>
        <i/>
        <sz val="10"/>
        <color rgb="FF000000"/>
        <rFont val="Aptos Narrow"/>
        <family val="2"/>
      </rPr>
      <t>VAKIFBANK</t>
    </r>
    <r>
      <rPr>
        <sz val="10"/>
        <color rgb="FF000000"/>
        <rFont val="Aptos Narrow"/>
        <family val="2"/>
      </rPr>
      <t xml:space="preserve"> döviz satış kuru üzerinden
   hesaplama yapılacaktır. 
- Ödeme fatura tarihinden itibaren 15 gün içerisinde yapılacaktır. 
</t>
    </r>
    <r>
      <rPr>
        <sz val="11"/>
        <color rgb="FF000000"/>
        <rFont val="Aptos Narrow"/>
        <family val="2"/>
      </rPr>
      <t xml:space="preserve">
</t>
    </r>
    <r>
      <rPr>
        <b/>
        <sz val="11"/>
        <color rgb="FF000000"/>
        <rFont val="Aptos Narrow"/>
        <family val="2"/>
      </rPr>
      <t>ÖZEL KOŞULLAR:</t>
    </r>
    <r>
      <rPr>
        <sz val="11"/>
        <color rgb="FF000000"/>
        <rFont val="Aptos Narrow"/>
        <family val="2"/>
      </rPr>
      <t xml:space="preserve">
</t>
    </r>
    <r>
      <rPr>
        <sz val="10"/>
        <color rgb="FF000000"/>
        <rFont val="Aptos Narrow"/>
        <family val="2"/>
      </rPr>
      <t>- Tüm ürünler 2 sene garantilidir</t>
    </r>
  </si>
  <si>
    <t>ONAY / İMZA</t>
  </si>
  <si>
    <t>Unvan:</t>
  </si>
  <si>
    <t>Teklif Sunan:</t>
  </si>
  <si>
    <t>PO No</t>
  </si>
  <si>
    <t>PO Tarihi</t>
  </si>
  <si>
    <t>PDF linki</t>
  </si>
  <si>
    <t>PDF Linki</t>
  </si>
  <si>
    <t>BMid</t>
  </si>
  <si>
    <t>GMid</t>
  </si>
  <si>
    <t>USD</t>
  </si>
  <si>
    <t>%</t>
  </si>
  <si>
    <t>Müşteri:</t>
  </si>
  <si>
    <t>Unvan</t>
  </si>
  <si>
    <t>Toplam</t>
  </si>
  <si>
    <t>Genel Satır Toplam</t>
  </si>
  <si>
    <t>Kritik</t>
  </si>
  <si>
    <t>Yüksek</t>
  </si>
  <si>
    <t>Orta</t>
  </si>
  <si>
    <t>Düşük</t>
  </si>
  <si>
    <t>Onaylandı</t>
  </si>
  <si>
    <t>Onay Bekliyor</t>
  </si>
  <si>
    <t>Askıya Alındı</t>
  </si>
  <si>
    <t>İptal Edildi</t>
  </si>
  <si>
    <t>Personel-1</t>
  </si>
  <si>
    <t>Personel-2</t>
  </si>
  <si>
    <t>Persnole-1</t>
  </si>
  <si>
    <t>Perssonel-2</t>
  </si>
  <si>
    <t>EUR</t>
  </si>
  <si>
    <t>TRY</t>
  </si>
  <si>
    <t>Unvan-1</t>
  </si>
  <si>
    <t>Unvan-2</t>
  </si>
  <si>
    <t>Fatura Kesildi</t>
  </si>
  <si>
    <t>KDV %</t>
  </si>
  <si>
    <t>Ocak</t>
  </si>
  <si>
    <t>Beklemede</t>
  </si>
  <si>
    <t>Link PDF</t>
  </si>
  <si>
    <t>KDV Toplam</t>
  </si>
  <si>
    <t>Üretime Bildirildi</t>
  </si>
  <si>
    <t>Toplam İskonto</t>
  </si>
  <si>
    <t>G.İskonto %</t>
  </si>
  <si>
    <t>İskonto %</t>
  </si>
  <si>
    <t>Genel Satır İskonto Toplamı</t>
  </si>
  <si>
    <t>ŞİRKET İSMİNİZİ YAZINIZ</t>
  </si>
  <si>
    <r>
      <t xml:space="preserve">Adres: </t>
    </r>
    <r>
      <rPr>
        <sz val="12"/>
        <color rgb="FF000000"/>
        <rFont val="Aptos Narrow"/>
        <family val="2"/>
      </rPr>
      <t>İstanbul / Türkiye</t>
    </r>
  </si>
  <si>
    <r>
      <rPr>
        <b/>
        <sz val="12"/>
        <color rgb="FF000000"/>
        <rFont val="Aptos Narrow"/>
        <family val="2"/>
      </rPr>
      <t>Vergi Dairesi:</t>
    </r>
    <r>
      <rPr>
        <sz val="12"/>
        <color rgb="FF000000"/>
        <rFont val="Aptos Narrow"/>
        <family val="2"/>
      </rPr>
      <t xml:space="preserve"> Sancaktepe V.D</t>
    </r>
  </si>
  <si>
    <r>
      <rPr>
        <b/>
        <sz val="12"/>
        <color rgb="FF000000"/>
        <rFont val="Aptos Narrow"/>
        <family val="2"/>
      </rPr>
      <t>Vergi No:</t>
    </r>
    <r>
      <rPr>
        <sz val="12"/>
        <color rgb="FF000000"/>
        <rFont val="Aptos Narrow"/>
        <family val="2"/>
      </rPr>
      <t xml:space="preserve"> 00 00 00 00 0</t>
    </r>
  </si>
  <si>
    <r>
      <rPr>
        <b/>
        <sz val="12"/>
        <color rgb="FF000000"/>
        <rFont val="Aptos Narrow"/>
        <family val="2"/>
      </rPr>
      <t>Tel:</t>
    </r>
    <r>
      <rPr>
        <sz val="12"/>
        <color rgb="FF000000"/>
        <rFont val="Aptos Narrow"/>
        <family val="2"/>
      </rPr>
      <t xml:space="preserve"> 0216 000 00 00</t>
    </r>
  </si>
  <si>
    <r>
      <rPr>
        <b/>
        <sz val="12"/>
        <color rgb="FF000000"/>
        <rFont val="Aptos Narrow"/>
        <family val="2"/>
      </rPr>
      <t>E-Posta:</t>
    </r>
    <r>
      <rPr>
        <sz val="12"/>
        <color rgb="FF000000"/>
        <rFont val="Aptos Narrow"/>
        <family val="2"/>
      </rPr>
      <t xml:space="preserve"> info@sirketismi.com</t>
    </r>
  </si>
  <si>
    <r>
      <rPr>
        <b/>
        <sz val="12"/>
        <color rgb="FF000000"/>
        <rFont val="Aptos Narrow"/>
        <family val="2"/>
      </rPr>
      <t>Web Site:</t>
    </r>
    <r>
      <rPr>
        <sz val="12"/>
        <color rgb="FF000000"/>
        <rFont val="Aptos Narrow"/>
        <family val="2"/>
      </rPr>
      <t xml:space="preserve"> www.website.com</t>
    </r>
  </si>
  <si>
    <t>İskonto</t>
  </si>
  <si>
    <t>Seden</t>
  </si>
  <si>
    <t>Kontrol Ediliyor</t>
  </si>
  <si>
    <t>Stokta Var</t>
  </si>
  <si>
    <t>İptal</t>
  </si>
  <si>
    <t>Ana Depoda Var</t>
  </si>
  <si>
    <t>Filtre (Yıl):</t>
  </si>
  <si>
    <t>Filtre (Dönem):</t>
  </si>
  <si>
    <t>Tümü</t>
  </si>
  <si>
    <t>TOPLAM TEKLİF</t>
  </si>
  <si>
    <t>ONAYLANAN</t>
  </si>
  <si>
    <t>FATURA KESİLEN</t>
  </si>
  <si>
    <t>BEKLEYENLER</t>
  </si>
  <si>
    <t>DETAYLI DURUM VE ÖNEM DERECESİ ANALİZİ</t>
  </si>
  <si>
    <t>Önem / Durum</t>
  </si>
  <si>
    <t>GENEL TOPLAM</t>
  </si>
  <si>
    <t>TOPLAM</t>
  </si>
  <si>
    <t>İPTAL EDİLEN</t>
  </si>
  <si>
    <t>ASKIYA ALINAN</t>
  </si>
  <si>
    <t>ONAY BEKLEYEN</t>
  </si>
  <si>
    <t>Aralık</t>
  </si>
  <si>
    <t>Yıllar</t>
  </si>
  <si>
    <t>Aylar</t>
  </si>
  <si>
    <t>Şubat</t>
  </si>
  <si>
    <t>Mart</t>
  </si>
  <si>
    <t>Nisan</t>
  </si>
  <si>
    <t>Mayıs</t>
  </si>
  <si>
    <t>Haziran</t>
  </si>
  <si>
    <t>Temmuz</t>
  </si>
  <si>
    <t>Ağustos</t>
  </si>
  <si>
    <t>Eylül</t>
  </si>
  <si>
    <t>Ekim</t>
  </si>
  <si>
    <t>Kasım</t>
  </si>
  <si>
    <t>Müşteriler</t>
  </si>
  <si>
    <t>Ürün Adları</t>
  </si>
  <si>
    <t>Müşteri-1</t>
  </si>
  <si>
    <t>Müşteri-3</t>
  </si>
  <si>
    <t>Müşteri-4</t>
  </si>
  <si>
    <t>Müşteri-5</t>
  </si>
  <si>
    <t>Müşteri-6</t>
  </si>
  <si>
    <t>Müşteri-7</t>
  </si>
  <si>
    <t>Müşteri-8</t>
  </si>
  <si>
    <t>Müşteri-9</t>
  </si>
  <si>
    <t>Müşteri-10</t>
  </si>
  <si>
    <t>Müşteri-11</t>
  </si>
  <si>
    <t>Müşteri-12</t>
  </si>
  <si>
    <t>Müşteri-13</t>
  </si>
  <si>
    <t>Müşteri-2</t>
  </si>
  <si>
    <t>A - Ürünü</t>
  </si>
  <si>
    <t>B - Ürünü</t>
  </si>
  <si>
    <t>C - Ürünü</t>
  </si>
  <si>
    <t>D - Ürünü</t>
  </si>
  <si>
    <t>E - Ürünü</t>
  </si>
  <si>
    <t>Müşteri-14</t>
  </si>
  <si>
    <t>01O20260105</t>
  </si>
  <si>
    <t>İlk Kayıt</t>
  </si>
  <si>
    <t>PDF</t>
  </si>
  <si>
    <t>01O20260107</t>
  </si>
  <si>
    <t>01O20260109</t>
  </si>
  <si>
    <t>R1</t>
  </si>
  <si>
    <t>01O20260120</t>
  </si>
  <si>
    <t>01O20260125</t>
  </si>
  <si>
    <t>R2</t>
  </si>
  <si>
    <t>01O20260300</t>
  </si>
  <si>
    <t>01O20260301</t>
  </si>
  <si>
    <t>MÜŞTERİ TEKLİF PANELI (KPI DASHBOARD)</t>
  </si>
  <si>
    <t>01O20260312</t>
  </si>
  <si>
    <t>Sütun1</t>
  </si>
  <si>
    <t>05O20260108</t>
  </si>
  <si>
    <t>05O20260111</t>
  </si>
  <si>
    <t>01S20260109</t>
  </si>
  <si>
    <t>01S20260110</t>
  </si>
  <si>
    <t>Durum2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</si>
</sst>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_-[$$-409]* #,##0.00_ ;_-[$$-409]* \-#,##0.00\ ;_-[$$-409]* &quot;-&quot;??_ ;_-@_ "/>
    <numFmt numFmtId="166" formatCode="#,##0;\-#,##0;\-"/>
  </numFmts>
  <fonts count="31" x14ac:knownFonts="1">
    <font>
      <sz val="11"/>
      <color theme="1"/>
      <name val="Aptos Narrow"/>
      <family val="2"/>
      <charset val="162"/>
      <scheme val="minor"/>
    </font>
    <font>
      <sz val="11"/>
      <color theme="1"/>
      <name val="Aptos Narrow"/>
      <family val="2"/>
      <charset val="162"/>
      <scheme val="minor"/>
    </font>
    <font>
      <sz val="11"/>
      <color rgb="FF000000"/>
      <name val="Aptos Narrow"/>
      <family val="2"/>
    </font>
    <font>
      <sz val="11"/>
      <color theme="1"/>
      <name val="Aptos Narrow"/>
      <family val="2"/>
      <charset val="162"/>
    </font>
    <font>
      <b/>
      <sz val="14"/>
      <color rgb="FF000000"/>
      <name val="Aptos Narrow"/>
      <family val="2"/>
    </font>
    <font>
      <b/>
      <sz val="12"/>
      <color rgb="FF000000"/>
      <name val="Aptos Narrow"/>
      <family val="2"/>
    </font>
    <font>
      <sz val="12"/>
      <color rgb="FF000000"/>
      <name val="Aptos Narrow"/>
      <family val="2"/>
      <charset val="162"/>
    </font>
    <font>
      <b/>
      <sz val="11"/>
      <color rgb="FF000000"/>
      <name val="Aptos Narrow"/>
      <family val="2"/>
    </font>
    <font>
      <i/>
      <sz val="12"/>
      <color rgb="FF000000"/>
      <name val="Aptos Narrow"/>
      <family val="2"/>
    </font>
    <font>
      <sz val="10"/>
      <color theme="1"/>
      <name val="Aptos Narrow"/>
      <family val="2"/>
      <scheme val="minor"/>
    </font>
    <font>
      <sz val="10"/>
      <color rgb="FF000000"/>
      <name val="Aptos Narrow"/>
      <family val="2"/>
    </font>
    <font>
      <b/>
      <i/>
      <sz val="10"/>
      <color rgb="FF000000"/>
      <name val="Aptos Narrow"/>
      <family val="2"/>
    </font>
    <font>
      <b/>
      <sz val="11"/>
      <color theme="1"/>
      <name val="Aptos Narrow"/>
      <family val="2"/>
    </font>
    <font>
      <b/>
      <sz val="11"/>
      <color theme="1"/>
      <name val="Aptos Narrow"/>
      <family val="2"/>
      <scheme val="minor"/>
    </font>
    <font>
      <sz val="8"/>
      <name val="Aptos Narrow"/>
      <family val="2"/>
      <charset val="162"/>
      <scheme val="minor"/>
    </font>
    <font>
      <sz val="11"/>
      <color theme="1"/>
      <name val="Aptos Narrow"/>
      <family val="2"/>
      <scheme val="minor"/>
    </font>
    <font>
      <u/>
      <sz val="11"/>
      <color theme="10"/>
      <name val="Aptos Narrow"/>
      <family val="2"/>
      <charset val="162"/>
      <scheme val="minor"/>
    </font>
    <font>
      <sz val="12"/>
      <color rgb="FF000000"/>
      <name val="Aptos Narrow"/>
      <family val="2"/>
    </font>
    <font>
      <sz val="9"/>
      <color indexed="81"/>
      <name val="Tahoma"/>
      <family val="2"/>
      <charset val="162"/>
    </font>
    <font>
      <b/>
      <sz val="9"/>
      <color indexed="81"/>
      <name val="Tahoma"/>
      <family val="2"/>
      <charset val="162"/>
    </font>
    <font>
      <b/>
      <sz val="10"/>
      <color indexed="81"/>
      <name val="Tahoma"/>
      <family val="2"/>
      <charset val="162"/>
    </font>
    <font>
      <b/>
      <sz val="22"/>
      <color rgb="FF212529"/>
      <name val="Calibri"/>
      <family val="2"/>
      <charset val="162"/>
    </font>
    <font>
      <b/>
      <sz val="14"/>
      <color rgb="FF2C3E50"/>
      <name val="Aptos Narrow"/>
      <family val="2"/>
      <scheme val="minor"/>
    </font>
    <font>
      <b/>
      <sz val="10"/>
      <color rgb="FF787878"/>
      <name val="Calibri"/>
      <family val="2"/>
      <charset val="162"/>
    </font>
    <font>
      <b/>
      <sz val="20"/>
      <color rgb="FF3498DB"/>
      <name val="Segoe UI"/>
      <family val="2"/>
      <charset val="162"/>
    </font>
    <font>
      <b/>
      <sz val="20"/>
      <color rgb="FF2ECC71"/>
      <name val="Segoe UI"/>
      <family val="2"/>
      <charset val="162"/>
    </font>
    <font>
      <b/>
      <sz val="20"/>
      <color rgb="FFF1C40F"/>
      <name val="Segoe UI"/>
      <family val="2"/>
      <charset val="162"/>
    </font>
    <font>
      <b/>
      <sz val="20"/>
      <color rgb="FFE74C3C"/>
      <name val="Segoe UI"/>
      <family val="2"/>
      <charset val="162"/>
    </font>
    <font>
      <b/>
      <sz val="20"/>
      <color rgb="FF95A5A6"/>
      <name val="Segoe UI"/>
      <family val="2"/>
      <charset val="162"/>
    </font>
    <font>
      <b/>
      <sz val="20"/>
      <color rgb="FFE67E22"/>
      <name val="Segoe UI"/>
      <family val="2"/>
      <charset val="162"/>
    </font>
    <font>
      <b/>
      <sz val="20"/>
      <color rgb="FF9B59B6"/>
      <name val="Segoe UI"/>
      <family val="2"/>
      <charset val="162"/>
    </font>
  </fonts>
  <fills count="9">
    <fill>
      <patternFill patternType="none"/>
    </fill>
    <fill>
      <patternFill patternType="gray125"/>
    </fill>
    <fill>
      <patternFill patternType="solid">
        <fgColor rgb="FFFFFFFF"/>
        <bgColor rgb="FF000000"/>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rgb="FFFFFFFF"/>
        <bgColor indexed="64"/>
      </patternFill>
    </fill>
    <fill>
      <patternFill patternType="solid">
        <fgColor rgb="FFF8F9FA"/>
        <bgColor indexed="64"/>
      </patternFill>
    </fill>
    <fill>
      <patternFill patternType="solid">
        <fgColor rgb="FFECF0F1"/>
        <bgColor indexed="64"/>
      </patternFill>
    </fill>
    <fill>
      <patternFill patternType="solid">
        <fgColor rgb="FFBDC3C7"/>
        <bgColor indexed="64"/>
      </patternFill>
    </fill>
  </fills>
  <borders count="2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rgb="FFC8C8C8"/>
      </left>
      <right style="thin">
        <color rgb="FFC8C8C8"/>
      </right>
      <top style="thin">
        <color rgb="FFC8C8C8"/>
      </top>
      <bottom style="thin">
        <color rgb="FFC8C8C8"/>
      </bottom>
      <diagonal/>
    </border>
    <border>
      <left style="thin">
        <color rgb="FFDCDCDC"/>
      </left>
      <right style="thin">
        <color rgb="FFDCDCDC"/>
      </right>
      <top style="thin">
        <color rgb="FFDCDCDC"/>
      </top>
      <bottom style="thin">
        <color rgb="FFDCDCDC"/>
      </bottom>
      <diagonal/>
    </border>
    <border>
      <left style="medium">
        <color rgb="FF3498DB"/>
      </left>
      <right/>
      <top/>
      <bottom/>
      <diagonal/>
    </border>
    <border>
      <left style="medium">
        <color rgb="FF2ECC71"/>
      </left>
      <right/>
      <top/>
      <bottom/>
      <diagonal/>
    </border>
    <border>
      <left style="medium">
        <color rgb="FFF1C40F"/>
      </left>
      <right/>
      <top/>
      <bottom/>
      <diagonal/>
    </border>
    <border>
      <left style="medium">
        <color rgb="FFE74C3C"/>
      </left>
      <right/>
      <top/>
      <bottom/>
      <diagonal/>
    </border>
    <border>
      <left style="medium">
        <color rgb="FF95A5A6"/>
      </left>
      <right/>
      <top/>
      <bottom/>
      <diagonal/>
    </border>
    <border>
      <left style="medium">
        <color rgb="FFE67E22"/>
      </left>
      <right/>
      <top/>
      <bottom/>
      <diagonal/>
    </border>
    <border>
      <left style="medium">
        <color rgb="FF9B59B6"/>
      </left>
      <right/>
      <top/>
      <bottom/>
      <diagonal/>
    </border>
  </borders>
  <cellStyleXfs count="3">
    <xf numFmtId="0" fontId="0" fillId="0" borderId="0"/>
    <xf numFmtId="9" fontId="1" fillId="0" borderId="0" applyFont="0" applyFill="0" applyBorder="0" applyAlignment="0" applyProtection="0"/>
    <xf numFmtId="0" fontId="16" fillId="0" borderId="0" applyNumberFormat="0" applyFill="0" applyBorder="0" applyAlignment="0" applyProtection="0"/>
  </cellStyleXfs>
  <cellXfs count="140">
    <xf numFmtId="0" fontId="0" fillId="0" borderId="0" xfId="0"/>
    <xf numFmtId="0" fontId="0" fillId="0" borderId="0" xfId="0" applyAlignment="1">
      <alignment horizontal="center" vertical="center"/>
    </xf>
    <xf numFmtId="0" fontId="3" fillId="0" borderId="0" xfId="0" applyFont="1"/>
    <xf numFmtId="0" fontId="3" fillId="2" borderId="0" xfId="0" applyFont="1" applyFill="1"/>
    <xf numFmtId="0" fontId="3" fillId="2" borderId="0" xfId="0" applyFont="1" applyFill="1" applyAlignment="1">
      <alignment vertical="top" wrapText="1"/>
    </xf>
    <xf numFmtId="0" fontId="3" fillId="2" borderId="0" xfId="0" applyFont="1" applyFill="1" applyAlignment="1">
      <alignment horizontal="left" vertical="top"/>
    </xf>
    <xf numFmtId="0" fontId="3" fillId="2" borderId="0" xfId="0" applyFont="1" applyFill="1" applyAlignment="1">
      <alignment vertical="top"/>
    </xf>
    <xf numFmtId="0" fontId="5" fillId="2" borderId="0" xfId="0" applyFont="1" applyFill="1"/>
    <xf numFmtId="0" fontId="6" fillId="2" borderId="0" xfId="0" applyFont="1" applyFill="1"/>
    <xf numFmtId="0" fontId="5" fillId="2" borderId="0" xfId="0" applyFont="1" applyFill="1" applyAlignment="1">
      <alignment horizontal="center"/>
    </xf>
    <xf numFmtId="0" fontId="7" fillId="2" borderId="0" xfId="0" applyFont="1" applyFill="1" applyAlignment="1">
      <alignment horizontal="center" vertical="center"/>
    </xf>
    <xf numFmtId="0" fontId="7" fillId="0" borderId="9" xfId="0" applyFont="1" applyBorder="1" applyAlignment="1">
      <alignment horizontal="center" vertical="center"/>
    </xf>
    <xf numFmtId="9" fontId="7" fillId="0" borderId="9" xfId="0" applyNumberFormat="1" applyFont="1" applyBorder="1" applyAlignment="1">
      <alignment horizontal="center" vertical="center"/>
    </xf>
    <xf numFmtId="0" fontId="3" fillId="2" borderId="0" xfId="0" applyFont="1" applyFill="1" applyAlignment="1">
      <alignment horizontal="center" vertical="center"/>
    </xf>
    <xf numFmtId="164" fontId="3" fillId="0" borderId="9" xfId="0" applyNumberFormat="1" applyFont="1" applyBorder="1" applyAlignment="1">
      <alignment horizontal="center" vertical="center"/>
    </xf>
    <xf numFmtId="164" fontId="3" fillId="0" borderId="9" xfId="0" applyNumberFormat="1" applyFont="1" applyBorder="1" applyAlignment="1">
      <alignment vertical="center"/>
    </xf>
    <xf numFmtId="0" fontId="7" fillId="2" borderId="9" xfId="0" applyFont="1" applyFill="1" applyBorder="1" applyAlignment="1">
      <alignment horizontal="right" vertical="center"/>
    </xf>
    <xf numFmtId="164" fontId="3" fillId="2" borderId="9" xfId="0" applyNumberFormat="1" applyFont="1" applyFill="1" applyBorder="1"/>
    <xf numFmtId="9" fontId="7" fillId="2" borderId="10" xfId="1" applyFont="1" applyFill="1" applyBorder="1" applyAlignment="1">
      <alignment horizontal="center" vertical="center"/>
    </xf>
    <xf numFmtId="164" fontId="3" fillId="2" borderId="9" xfId="0" applyNumberFormat="1" applyFont="1" applyFill="1" applyBorder="1" applyAlignment="1">
      <alignment vertical="center"/>
    </xf>
    <xf numFmtId="164" fontId="3" fillId="0" borderId="2" xfId="0" applyNumberFormat="1" applyFont="1" applyBorder="1" applyAlignment="1">
      <alignment vertical="center"/>
    </xf>
    <xf numFmtId="9" fontId="7" fillId="2" borderId="10" xfId="1" applyFont="1" applyFill="1" applyBorder="1" applyAlignment="1">
      <alignment vertical="center"/>
    </xf>
    <xf numFmtId="164" fontId="3" fillId="0" borderId="0" xfId="0" applyNumberFormat="1" applyFont="1" applyAlignment="1">
      <alignment vertical="center"/>
    </xf>
    <xf numFmtId="0" fontId="3" fillId="2" borderId="9" xfId="0" applyFont="1" applyFill="1" applyBorder="1" applyAlignment="1">
      <alignment horizontal="center" vertical="center"/>
    </xf>
    <xf numFmtId="1" fontId="3" fillId="2" borderId="9" xfId="0" applyNumberFormat="1" applyFont="1" applyFill="1" applyBorder="1" applyAlignment="1">
      <alignment horizontal="center" vertical="center"/>
    </xf>
    <xf numFmtId="0" fontId="3" fillId="2" borderId="9" xfId="0" applyFont="1" applyFill="1" applyBorder="1"/>
    <xf numFmtId="0" fontId="5" fillId="2" borderId="9" xfId="0" applyFont="1" applyFill="1" applyBorder="1" applyAlignment="1">
      <alignment horizontal="left" vertical="center" wrapText="1"/>
    </xf>
    <xf numFmtId="0" fontId="7" fillId="2" borderId="9" xfId="0" applyFont="1" applyFill="1" applyBorder="1" applyAlignment="1">
      <alignment horizontal="left" vertical="center" wrapText="1"/>
    </xf>
    <xf numFmtId="0" fontId="3" fillId="0" borderId="0" xfId="0" applyFont="1" applyAlignment="1">
      <alignment vertical="center"/>
    </xf>
    <xf numFmtId="0" fontId="13" fillId="0" borderId="0" xfId="0" applyFont="1" applyAlignment="1">
      <alignment horizontal="center" vertical="center"/>
    </xf>
    <xf numFmtId="0" fontId="13" fillId="3" borderId="15" xfId="0" applyFont="1" applyFill="1" applyBorder="1" applyAlignment="1">
      <alignment horizontal="center" vertical="center"/>
    </xf>
    <xf numFmtId="0" fontId="13" fillId="0" borderId="0" xfId="0" applyFont="1"/>
    <xf numFmtId="0" fontId="15" fillId="0" borderId="0" xfId="0" applyFont="1" applyAlignment="1">
      <alignment horizontal="center" vertical="center"/>
    </xf>
    <xf numFmtId="14" fontId="15" fillId="0" borderId="0" xfId="0" applyNumberFormat="1" applyFont="1" applyAlignment="1">
      <alignment horizontal="center" vertical="center"/>
    </xf>
    <xf numFmtId="9" fontId="15" fillId="0" borderId="0" xfId="1" applyFont="1" applyBorder="1" applyAlignment="1">
      <alignment horizontal="center" vertical="center"/>
    </xf>
    <xf numFmtId="165" fontId="15" fillId="0" borderId="0" xfId="0" applyNumberFormat="1" applyFont="1" applyAlignment="1">
      <alignment horizontal="center" vertical="center"/>
    </xf>
    <xf numFmtId="0" fontId="15" fillId="0" borderId="0" xfId="0" applyFont="1" applyAlignment="1">
      <alignment horizontal="left" vertical="center"/>
    </xf>
    <xf numFmtId="0" fontId="13" fillId="0" borderId="15" xfId="0" applyFont="1" applyBorder="1" applyAlignment="1">
      <alignment horizontal="center" vertical="center"/>
    </xf>
    <xf numFmtId="14" fontId="13" fillId="0" borderId="15" xfId="0" applyNumberFormat="1" applyFont="1" applyBorder="1" applyAlignment="1">
      <alignment horizontal="center" vertical="center"/>
    </xf>
    <xf numFmtId="9" fontId="13" fillId="0" borderId="15" xfId="1" applyFont="1" applyFill="1" applyBorder="1" applyAlignment="1">
      <alignment horizontal="center" vertical="center"/>
    </xf>
    <xf numFmtId="0" fontId="16" fillId="0" borderId="0" xfId="2" applyFill="1" applyBorder="1" applyAlignment="1">
      <alignment horizontal="center" vertical="center"/>
    </xf>
    <xf numFmtId="9" fontId="15" fillId="0" borderId="0" xfId="1" applyFont="1" applyFill="1" applyBorder="1" applyAlignment="1">
      <alignment horizontal="center" vertical="center"/>
    </xf>
    <xf numFmtId="0" fontId="2" fillId="2" borderId="0" xfId="0" applyFont="1" applyFill="1" applyAlignment="1">
      <alignment vertical="top" wrapText="1"/>
    </xf>
    <xf numFmtId="0" fontId="17" fillId="2" borderId="0" xfId="0" applyFont="1" applyFill="1" applyAlignment="1">
      <alignment horizontal="right" vertical="center" wrapText="1"/>
    </xf>
    <xf numFmtId="0" fontId="3" fillId="2" borderId="0" xfId="0" applyFont="1" applyFill="1" applyAlignment="1">
      <alignment vertical="center"/>
    </xf>
    <xf numFmtId="0" fontId="0" fillId="6" borderId="0" xfId="0" applyFill="1"/>
    <xf numFmtId="0" fontId="13" fillId="6" borderId="0" xfId="0" applyFont="1" applyFill="1" applyAlignment="1">
      <alignment horizontal="right" vertical="center"/>
    </xf>
    <xf numFmtId="0" fontId="13" fillId="5" borderId="17" xfId="0" applyFont="1" applyFill="1" applyBorder="1" applyAlignment="1">
      <alignment horizontal="center" vertical="center"/>
    </xf>
    <xf numFmtId="0" fontId="15" fillId="4" borderId="16" xfId="0" applyFont="1" applyFill="1" applyBorder="1" applyAlignment="1">
      <alignment horizontal="center" vertical="center"/>
    </xf>
    <xf numFmtId="0" fontId="15" fillId="0" borderId="16" xfId="0" applyFont="1" applyBorder="1" applyAlignment="1">
      <alignment horizontal="center" vertical="center"/>
    </xf>
    <xf numFmtId="0" fontId="22" fillId="6" borderId="0" xfId="0" applyFont="1" applyFill="1"/>
    <xf numFmtId="0" fontId="13" fillId="8" borderId="0" xfId="0" applyFont="1" applyFill="1"/>
    <xf numFmtId="166" fontId="0" fillId="6" borderId="18" xfId="0" applyNumberFormat="1" applyFill="1" applyBorder="1" applyAlignment="1">
      <alignment horizontal="center"/>
    </xf>
    <xf numFmtId="166" fontId="13" fillId="6" borderId="9" xfId="0" applyNumberFormat="1" applyFont="1" applyFill="1" applyBorder="1"/>
    <xf numFmtId="166" fontId="13" fillId="7" borderId="9" xfId="0" applyNumberFormat="1" applyFont="1" applyFill="1" applyBorder="1"/>
    <xf numFmtId="0" fontId="23" fillId="5" borderId="19" xfId="0" applyFont="1" applyFill="1" applyBorder="1" applyAlignment="1">
      <alignment horizontal="center"/>
    </xf>
    <xf numFmtId="3" fontId="24" fillId="5" borderId="19" xfId="0" applyNumberFormat="1" applyFont="1" applyFill="1" applyBorder="1" applyAlignment="1">
      <alignment horizontal="center" vertical="top"/>
    </xf>
    <xf numFmtId="0" fontId="23" fillId="5" borderId="20" xfId="0" applyFont="1" applyFill="1" applyBorder="1" applyAlignment="1">
      <alignment horizontal="center"/>
    </xf>
    <xf numFmtId="3" fontId="25" fillId="5" borderId="20" xfId="0" applyNumberFormat="1" applyFont="1" applyFill="1" applyBorder="1" applyAlignment="1">
      <alignment horizontal="center" vertical="top"/>
    </xf>
    <xf numFmtId="0" fontId="23" fillId="5" borderId="21" xfId="0" applyFont="1" applyFill="1" applyBorder="1" applyAlignment="1">
      <alignment horizontal="center"/>
    </xf>
    <xf numFmtId="3" fontId="26" fillId="5" borderId="21" xfId="0" applyNumberFormat="1" applyFont="1" applyFill="1" applyBorder="1" applyAlignment="1">
      <alignment horizontal="center" vertical="top"/>
    </xf>
    <xf numFmtId="0" fontId="23" fillId="5" borderId="22" xfId="0" applyFont="1" applyFill="1" applyBorder="1" applyAlignment="1">
      <alignment horizontal="center"/>
    </xf>
    <xf numFmtId="3" fontId="27" fillId="5" borderId="22" xfId="0" applyNumberFormat="1" applyFont="1" applyFill="1" applyBorder="1" applyAlignment="1">
      <alignment horizontal="center" vertical="top"/>
    </xf>
    <xf numFmtId="0" fontId="23" fillId="5" borderId="23" xfId="0" applyFont="1" applyFill="1" applyBorder="1" applyAlignment="1">
      <alignment horizontal="center"/>
    </xf>
    <xf numFmtId="3" fontId="28" fillId="5" borderId="23" xfId="0" applyNumberFormat="1" applyFont="1" applyFill="1" applyBorder="1" applyAlignment="1">
      <alignment horizontal="center" vertical="top"/>
    </xf>
    <xf numFmtId="0" fontId="23" fillId="5" borderId="24" xfId="0" applyFont="1" applyFill="1" applyBorder="1" applyAlignment="1">
      <alignment horizontal="center"/>
    </xf>
    <xf numFmtId="3" fontId="29" fillId="5" borderId="24" xfId="0" applyNumberFormat="1" applyFont="1" applyFill="1" applyBorder="1" applyAlignment="1">
      <alignment horizontal="center" vertical="top"/>
    </xf>
    <xf numFmtId="0" fontId="23" fillId="5" borderId="25" xfId="0" applyFont="1" applyFill="1" applyBorder="1" applyAlignment="1">
      <alignment horizontal="center"/>
    </xf>
    <xf numFmtId="3" fontId="30" fillId="5" borderId="25" xfId="0" applyNumberFormat="1" applyFont="1" applyFill="1" applyBorder="1" applyAlignment="1">
      <alignment horizontal="center" vertical="top"/>
    </xf>
    <xf numFmtId="0" fontId="0" fillId="0" borderId="0" xfId="0" applyAlignment="1">
      <alignment wrapText="1"/>
    </xf>
    <xf numFmtId="0" fontId="13" fillId="7" borderId="0" xfId="0" applyFont="1" applyFill="1" applyAlignment="1">
      <alignment horizontal="center" vertical="center"/>
    </xf>
    <xf numFmtId="0" fontId="13" fillId="7" borderId="9" xfId="0" applyFont="1" applyFill="1" applyBorder="1" applyAlignment="1">
      <alignment horizontal="center" vertical="center"/>
    </xf>
    <xf numFmtId="0" fontId="13" fillId="6" borderId="9" xfId="0" applyFont="1" applyFill="1" applyBorder="1" applyAlignment="1">
      <alignment horizontal="right"/>
    </xf>
    <xf numFmtId="0" fontId="13" fillId="6" borderId="9" xfId="0" applyFont="1" applyFill="1" applyBorder="1" applyAlignment="1">
      <alignment horizontal="right" vertical="center"/>
    </xf>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21" fillId="6" borderId="0" xfId="0" applyFont="1" applyFill="1" applyAlignment="1">
      <alignment vertical="center"/>
    </xf>
    <xf numFmtId="164" fontId="3" fillId="0" borderId="11" xfId="0" applyNumberFormat="1" applyFont="1" applyBorder="1" applyAlignment="1">
      <alignment horizontal="center" vertical="center"/>
    </xf>
    <xf numFmtId="164" fontId="3" fillId="0" borderId="12" xfId="0" applyNumberFormat="1" applyFont="1" applyBorder="1" applyAlignment="1">
      <alignment horizontal="center" vertical="center"/>
    </xf>
    <xf numFmtId="0" fontId="5" fillId="2" borderId="0" xfId="0" applyFont="1" applyFill="1" applyAlignment="1">
      <alignment horizontal="center" vertical="center" wrapText="1"/>
    </xf>
    <xf numFmtId="0" fontId="5" fillId="2" borderId="0" xfId="0" applyFont="1" applyFill="1" applyAlignment="1">
      <alignment horizontal="right" vertical="center" wrapText="1"/>
    </xf>
    <xf numFmtId="0" fontId="17" fillId="2" borderId="0" xfId="0" applyFont="1" applyFill="1" applyAlignment="1">
      <alignment horizontal="right" vertic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0" xfId="0" applyFont="1" applyFill="1" applyBorder="1" applyAlignment="1">
      <alignment vertical="center"/>
    </xf>
    <xf numFmtId="0" fontId="3" fillId="2" borderId="9" xfId="0" applyFont="1" applyFill="1" applyBorder="1" applyAlignment="1">
      <alignment horizontal="center" vertical="center"/>
    </xf>
    <xf numFmtId="164" fontId="3" fillId="2" borderId="13" xfId="0" applyNumberFormat="1" applyFont="1" applyFill="1" applyBorder="1" applyAlignment="1">
      <alignment horizontal="center" vertical="center"/>
    </xf>
    <xf numFmtId="164" fontId="3" fillId="2" borderId="10" xfId="0" applyNumberFormat="1" applyFont="1" applyFill="1" applyBorder="1" applyAlignment="1">
      <alignment horizontal="center" vertical="center"/>
    </xf>
    <xf numFmtId="0" fontId="3" fillId="2" borderId="9" xfId="0" applyFont="1" applyFill="1" applyBorder="1" applyAlignment="1">
      <alignment vertical="center"/>
    </xf>
    <xf numFmtId="0" fontId="6" fillId="2" borderId="2" xfId="0" applyFont="1" applyFill="1" applyBorder="1" applyAlignment="1">
      <alignment horizontal="left"/>
    </xf>
    <xf numFmtId="0" fontId="6" fillId="2" borderId="0" xfId="0" applyFont="1" applyFill="1" applyAlignment="1">
      <alignment horizontal="left"/>
    </xf>
    <xf numFmtId="0" fontId="3" fillId="2" borderId="13" xfId="0" applyFont="1" applyFill="1" applyBorder="1" applyAlignment="1">
      <alignment horizontal="center"/>
    </xf>
    <xf numFmtId="0" fontId="3" fillId="2" borderId="10" xfId="0" applyFont="1" applyFill="1" applyBorder="1" applyAlignment="1">
      <alignment horizontal="center"/>
    </xf>
    <xf numFmtId="0" fontId="7" fillId="2" borderId="13" xfId="0" applyFont="1" applyFill="1" applyBorder="1" applyAlignment="1">
      <alignment horizontal="right" vertical="center"/>
    </xf>
    <xf numFmtId="0" fontId="7" fillId="2" borderId="10" xfId="0" applyFont="1" applyFill="1" applyBorder="1" applyAlignment="1">
      <alignment horizontal="right" vertical="center"/>
    </xf>
    <xf numFmtId="0" fontId="2" fillId="2" borderId="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3" xfId="0" applyFont="1" applyFill="1" applyBorder="1" applyAlignment="1">
      <alignment horizontal="left" vertical="top" wrapText="1"/>
    </xf>
    <xf numFmtId="0" fontId="2" fillId="2" borderId="4" xfId="0" applyFont="1" applyFill="1" applyBorder="1" applyAlignment="1">
      <alignment horizontal="left" vertical="top" wrapText="1"/>
    </xf>
    <xf numFmtId="0" fontId="2" fillId="2" borderId="0" xfId="0" applyFont="1" applyFill="1" applyAlignment="1">
      <alignment horizontal="left" vertical="top" wrapText="1"/>
    </xf>
    <xf numFmtId="0" fontId="2" fillId="2" borderId="5" xfId="0" applyFont="1" applyFill="1" applyBorder="1" applyAlignment="1">
      <alignment horizontal="left" vertical="top" wrapText="1"/>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12" fillId="2" borderId="13" xfId="0" applyFont="1" applyFill="1" applyBorder="1" applyAlignment="1">
      <alignment horizontal="center" vertical="center"/>
    </xf>
    <xf numFmtId="0" fontId="12" fillId="2" borderId="10" xfId="0" applyFont="1" applyFill="1" applyBorder="1" applyAlignment="1">
      <alignment horizontal="center" vertical="center"/>
    </xf>
    <xf numFmtId="0" fontId="2" fillId="2" borderId="9" xfId="0" applyFont="1" applyFill="1" applyBorder="1" applyAlignment="1">
      <alignment horizontal="left" vertical="center" wrapText="1"/>
    </xf>
    <xf numFmtId="0" fontId="3" fillId="2" borderId="9" xfId="0" applyFont="1" applyFill="1" applyBorder="1" applyAlignment="1">
      <alignment horizontal="left" vertical="center"/>
    </xf>
    <xf numFmtId="0" fontId="3" fillId="2" borderId="13" xfId="0" applyFont="1" applyFill="1" applyBorder="1" applyAlignment="1">
      <alignment vertical="center" wrapText="1"/>
    </xf>
    <xf numFmtId="0" fontId="3" fillId="2" borderId="14" xfId="0" applyFont="1" applyFill="1" applyBorder="1" applyAlignment="1">
      <alignment vertical="center" wrapText="1"/>
    </xf>
    <xf numFmtId="0" fontId="3" fillId="2" borderId="10" xfId="0" applyFont="1" applyFill="1" applyBorder="1" applyAlignment="1">
      <alignment vertical="center" wrapText="1"/>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0" xfId="0" applyFont="1" applyFill="1" applyBorder="1" applyAlignment="1">
      <alignment horizontal="center" vertical="center"/>
    </xf>
    <xf numFmtId="0" fontId="5" fillId="2" borderId="0" xfId="0" applyFont="1" applyFill="1" applyAlignment="1">
      <alignment horizontal="center"/>
    </xf>
    <xf numFmtId="0" fontId="3" fillId="2" borderId="2" xfId="0" applyFont="1" applyFill="1" applyBorder="1" applyAlignment="1">
      <alignment horizontal="center"/>
    </xf>
    <xf numFmtId="0" fontId="5" fillId="2" borderId="0" xfId="0" applyFont="1" applyFill="1" applyAlignment="1">
      <alignment horizontal="center" vertical="center"/>
    </xf>
    <xf numFmtId="0" fontId="4" fillId="2" borderId="9" xfId="0" applyFont="1" applyFill="1" applyBorder="1" applyAlignment="1">
      <alignment horizontal="left" vertical="center" wrapText="1"/>
    </xf>
    <xf numFmtId="0" fontId="8" fillId="2" borderId="9" xfId="0" applyFont="1" applyFill="1" applyBorder="1" applyAlignment="1">
      <alignment horizontal="left" vertical="center" wrapText="1"/>
    </xf>
    <xf numFmtId="14" fontId="3" fillId="2" borderId="9" xfId="0" applyNumberFormat="1" applyFont="1" applyFill="1" applyBorder="1" applyAlignment="1">
      <alignment horizontal="lef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8" xfId="0" applyFont="1" applyFill="1" applyBorder="1" applyAlignment="1">
      <alignment horizontal="center" vertical="center"/>
    </xf>
    <xf numFmtId="49" fontId="3" fillId="2" borderId="13" xfId="0" applyNumberFormat="1" applyFont="1" applyFill="1" applyBorder="1" applyAlignment="1">
      <alignment horizontal="left" vertical="center"/>
    </xf>
    <xf numFmtId="49" fontId="3" fillId="2" borderId="14" xfId="0" applyNumberFormat="1" applyFont="1" applyFill="1" applyBorder="1" applyAlignment="1">
      <alignment horizontal="left" vertical="center"/>
    </xf>
    <xf numFmtId="49" fontId="3" fillId="2" borderId="10" xfId="0" applyNumberFormat="1" applyFont="1" applyFill="1" applyBorder="1" applyAlignment="1">
      <alignment horizontal="left" vertical="center"/>
    </xf>
    <xf numFmtId="0" fontId="3" fillId="2" borderId="13" xfId="0" applyFont="1" applyFill="1" applyBorder="1" applyAlignment="1">
      <alignment horizontal="left" vertical="center"/>
    </xf>
    <xf numFmtId="0" fontId="3" fillId="2" borderId="10" xfId="0" applyFont="1" applyFill="1" applyBorder="1" applyAlignment="1">
      <alignment horizontal="left" vertical="center"/>
    </xf>
    <xf numFmtId="14" fontId="3" fillId="2" borderId="13" xfId="0" applyNumberFormat="1" applyFont="1" applyFill="1" applyBorder="1" applyAlignment="1">
      <alignment horizontal="left" vertical="center"/>
    </xf>
    <xf numFmtId="14" fontId="3" fillId="2" borderId="14" xfId="0" applyNumberFormat="1" applyFont="1" applyFill="1" applyBorder="1" applyAlignment="1">
      <alignment horizontal="left" vertical="center"/>
    </xf>
    <xf numFmtId="14" fontId="3" fillId="2" borderId="10" xfId="0" applyNumberFormat="1" applyFont="1" applyFill="1" applyBorder="1" applyAlignment="1">
      <alignment horizontal="left" vertical="center"/>
    </xf>
  </cellXfs>
  <cellStyles count="3">
    <cellStyle name="Köprü" xfId="2" builtinId="8"/>
    <cellStyle name="Normal" xfId="0" builtinId="0"/>
    <cellStyle name="Yüzde" xfId="1" builtinId="5"/>
  </cellStyles>
  <dxfs count="7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indexed="64"/>
        </top>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9"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9" formatCode="d/mm/yyyy"/>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9" formatCode="d/mm/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9" tint="0.39994506668294322"/>
        </patternFill>
      </fill>
    </dxf>
    <dxf>
      <fill>
        <patternFill>
          <bgColor rgb="FFFFDB69"/>
        </patternFill>
      </fill>
    </dxf>
    <dxf>
      <fill>
        <patternFill>
          <bgColor rgb="FFFF7171"/>
        </patternFill>
      </fill>
    </dxf>
    <dxf>
      <fill>
        <patternFill>
          <bgColor theme="8" tint="0.59996337778862885"/>
        </patternFill>
      </fill>
    </dxf>
    <dxf>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409]* #,##0.00_ ;_-[$$-409]* \-#,##0.00\ ;_-[$$-409]* &quot;-&quot;??_ ;_-@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9" formatCode="d/mm/yyyy"/>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9" formatCode="d/mm/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9" tint="0.39994506668294322"/>
        </patternFill>
      </fill>
    </dxf>
    <dxf>
      <fill>
        <patternFill>
          <bgColor theme="8" tint="0.59996337778862885"/>
        </patternFill>
      </fill>
    </dxf>
    <dxf>
      <fill>
        <patternFill>
          <bgColor theme="9" tint="0.39994506668294322"/>
        </patternFill>
      </fill>
    </dxf>
    <dxf>
      <fill>
        <patternFill>
          <bgColor rgb="FFFF8989"/>
        </patternFill>
      </fill>
    </dxf>
    <dxf>
      <fill>
        <patternFill>
          <bgColor rgb="FFFCD25A"/>
        </patternFill>
      </fill>
    </dxf>
    <dxf>
      <fill>
        <patternFill>
          <bgColor theme="8" tint="0.59996337778862885"/>
        </patternFill>
      </fill>
    </dxf>
  </dxfs>
  <tableStyles count="1" defaultTableStyle="TableStyleMedium2" defaultPivotStyle="PivotStyleLight16">
    <tableStyle name="Invisible" pivot="0" table="0" count="0" xr9:uid="{0A2785A3-4AA0-45DC-8622-B95ADE4934B8}"/>
  </tableStyles>
  <colors>
    <mruColors>
      <color rgb="FFBA8CDC"/>
      <color rgb="FFFF7171"/>
      <color rgb="FFFFDB69"/>
      <color rgb="FFFCD25A"/>
      <color rgb="FFFF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tr-TR"/>
              <a:t>Müşteri Teklif Grafigi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stacked"/>
        <c:varyColors val="0"/>
        <c:ser>
          <c:idx val="0"/>
          <c:order val="0"/>
          <c:tx>
            <c:strRef>
              <c:f>Dashboard!$B$11</c:f>
              <c:strCache>
                <c:ptCount val="1"/>
                <c:pt idx="0">
                  <c:v>Kritik</c:v>
                </c:pt>
              </c:strCache>
            </c:strRef>
          </c:tx>
          <c:spPr>
            <a:solidFill>
              <a:schemeClr val="accent1"/>
            </a:solidFill>
            <a:ln>
              <a:noFill/>
            </a:ln>
            <a:effectLst/>
          </c:spPr>
          <c:invertIfNegative val="0"/>
          <c:cat>
            <c:strRef>
              <c:f>Dashboard!$C$10:$I$10</c:f>
              <c:strCache>
                <c:ptCount val="7"/>
                <c:pt idx="0">
                  <c:v>Onay Bekliyor</c:v>
                </c:pt>
                <c:pt idx="1">
                  <c:v>Onaylandı</c:v>
                </c:pt>
                <c:pt idx="2">
                  <c:v>Askıya Alındı</c:v>
                </c:pt>
                <c:pt idx="3">
                  <c:v>İptal Edildi</c:v>
                </c:pt>
                <c:pt idx="4">
                  <c:v>Fatura Kesildi</c:v>
                </c:pt>
                <c:pt idx="5">
                  <c:v>Üretime Bildirildi</c:v>
                </c:pt>
                <c:pt idx="6">
                  <c:v>Beklemede</c:v>
                </c:pt>
              </c:strCache>
            </c:strRef>
          </c:cat>
          <c:val>
            <c:numRef>
              <c:f>Dashboard!$C$11:$I$11</c:f>
              <c:numCache>
                <c:formatCode>#,##0;\-#,##0;\-</c:formatCode>
                <c:ptCount val="7"/>
                <c:pt idx="0">
                  <c:v>1</c:v>
                </c:pt>
                <c:pt idx="1">
                  <c:v>1</c:v>
                </c:pt>
                <c:pt idx="2">
                  <c:v>0</c:v>
                </c:pt>
                <c:pt idx="3">
                  <c:v>0</c:v>
                </c:pt>
                <c:pt idx="4">
                  <c:v>1</c:v>
                </c:pt>
                <c:pt idx="5">
                  <c:v>1</c:v>
                </c:pt>
                <c:pt idx="6">
                  <c:v>4</c:v>
                </c:pt>
              </c:numCache>
            </c:numRef>
          </c:val>
          <c:extLst>
            <c:ext xmlns:c16="http://schemas.microsoft.com/office/drawing/2014/chart" uri="{C3380CC4-5D6E-409C-BE32-E72D297353CC}">
              <c16:uniqueId val="{00000000-629A-4E17-AA0B-8FD2C9B97679}"/>
            </c:ext>
          </c:extLst>
        </c:ser>
        <c:ser>
          <c:idx val="1"/>
          <c:order val="1"/>
          <c:tx>
            <c:strRef>
              <c:f>Dashboard!$B$12</c:f>
              <c:strCache>
                <c:ptCount val="1"/>
                <c:pt idx="0">
                  <c:v>Yüksek</c:v>
                </c:pt>
              </c:strCache>
            </c:strRef>
          </c:tx>
          <c:spPr>
            <a:solidFill>
              <a:schemeClr val="accent2"/>
            </a:solidFill>
            <a:ln>
              <a:noFill/>
            </a:ln>
            <a:effectLst/>
          </c:spPr>
          <c:invertIfNegative val="0"/>
          <c:cat>
            <c:strRef>
              <c:f>Dashboard!$C$10:$I$10</c:f>
              <c:strCache>
                <c:ptCount val="7"/>
                <c:pt idx="0">
                  <c:v>Onay Bekliyor</c:v>
                </c:pt>
                <c:pt idx="1">
                  <c:v>Onaylandı</c:v>
                </c:pt>
                <c:pt idx="2">
                  <c:v>Askıya Alındı</c:v>
                </c:pt>
                <c:pt idx="3">
                  <c:v>İptal Edildi</c:v>
                </c:pt>
                <c:pt idx="4">
                  <c:v>Fatura Kesildi</c:v>
                </c:pt>
                <c:pt idx="5">
                  <c:v>Üretime Bildirildi</c:v>
                </c:pt>
                <c:pt idx="6">
                  <c:v>Beklemede</c:v>
                </c:pt>
              </c:strCache>
            </c:strRef>
          </c:cat>
          <c:val>
            <c:numRef>
              <c:f>Dashboard!$C$12:$I$12</c:f>
              <c:numCache>
                <c:formatCode>#,##0;\-#,##0;\-</c:formatCode>
                <c:ptCount val="7"/>
                <c:pt idx="0">
                  <c:v>1</c:v>
                </c:pt>
                <c:pt idx="1">
                  <c:v>0</c:v>
                </c:pt>
                <c:pt idx="2">
                  <c:v>2</c:v>
                </c:pt>
                <c:pt idx="3">
                  <c:v>0</c:v>
                </c:pt>
                <c:pt idx="4">
                  <c:v>1</c:v>
                </c:pt>
                <c:pt idx="5">
                  <c:v>0</c:v>
                </c:pt>
                <c:pt idx="6">
                  <c:v>0</c:v>
                </c:pt>
              </c:numCache>
            </c:numRef>
          </c:val>
          <c:extLst>
            <c:ext xmlns:c16="http://schemas.microsoft.com/office/drawing/2014/chart" uri="{C3380CC4-5D6E-409C-BE32-E72D297353CC}">
              <c16:uniqueId val="{00000001-629A-4E17-AA0B-8FD2C9B97679}"/>
            </c:ext>
          </c:extLst>
        </c:ser>
        <c:ser>
          <c:idx val="2"/>
          <c:order val="2"/>
          <c:tx>
            <c:strRef>
              <c:f>Dashboard!$B$13</c:f>
              <c:strCache>
                <c:ptCount val="1"/>
                <c:pt idx="0">
                  <c:v>Orta</c:v>
                </c:pt>
              </c:strCache>
            </c:strRef>
          </c:tx>
          <c:spPr>
            <a:solidFill>
              <a:schemeClr val="accent3"/>
            </a:solidFill>
            <a:ln>
              <a:noFill/>
            </a:ln>
            <a:effectLst/>
          </c:spPr>
          <c:invertIfNegative val="0"/>
          <c:cat>
            <c:strRef>
              <c:f>Dashboard!$C$10:$I$10</c:f>
              <c:strCache>
                <c:ptCount val="7"/>
                <c:pt idx="0">
                  <c:v>Onay Bekliyor</c:v>
                </c:pt>
                <c:pt idx="1">
                  <c:v>Onaylandı</c:v>
                </c:pt>
                <c:pt idx="2">
                  <c:v>Askıya Alındı</c:v>
                </c:pt>
                <c:pt idx="3">
                  <c:v>İptal Edildi</c:v>
                </c:pt>
                <c:pt idx="4">
                  <c:v>Fatura Kesildi</c:v>
                </c:pt>
                <c:pt idx="5">
                  <c:v>Üretime Bildirildi</c:v>
                </c:pt>
                <c:pt idx="6">
                  <c:v>Beklemede</c:v>
                </c:pt>
              </c:strCache>
            </c:strRef>
          </c:cat>
          <c:val>
            <c:numRef>
              <c:f>Dashboard!$C$13:$I$13</c:f>
              <c:numCache>
                <c:formatCode>#,##0;\-#,##0;\-</c:formatCode>
                <c:ptCount val="7"/>
                <c:pt idx="0">
                  <c:v>1</c:v>
                </c:pt>
                <c:pt idx="1">
                  <c:v>1</c:v>
                </c:pt>
                <c:pt idx="2">
                  <c:v>1</c:v>
                </c:pt>
                <c:pt idx="3">
                  <c:v>1</c:v>
                </c:pt>
                <c:pt idx="4">
                  <c:v>0</c:v>
                </c:pt>
                <c:pt idx="5">
                  <c:v>0</c:v>
                </c:pt>
                <c:pt idx="6">
                  <c:v>0</c:v>
                </c:pt>
              </c:numCache>
            </c:numRef>
          </c:val>
          <c:extLst>
            <c:ext xmlns:c16="http://schemas.microsoft.com/office/drawing/2014/chart" uri="{C3380CC4-5D6E-409C-BE32-E72D297353CC}">
              <c16:uniqueId val="{00000002-629A-4E17-AA0B-8FD2C9B97679}"/>
            </c:ext>
          </c:extLst>
        </c:ser>
        <c:ser>
          <c:idx val="3"/>
          <c:order val="3"/>
          <c:tx>
            <c:strRef>
              <c:f>Dashboard!$B$14</c:f>
              <c:strCache>
                <c:ptCount val="1"/>
                <c:pt idx="0">
                  <c:v>Düşük</c:v>
                </c:pt>
              </c:strCache>
            </c:strRef>
          </c:tx>
          <c:spPr>
            <a:solidFill>
              <a:schemeClr val="accent4"/>
            </a:solidFill>
            <a:ln>
              <a:noFill/>
            </a:ln>
            <a:effectLst/>
          </c:spPr>
          <c:invertIfNegative val="0"/>
          <c:cat>
            <c:strRef>
              <c:f>Dashboard!$C$10:$I$10</c:f>
              <c:strCache>
                <c:ptCount val="7"/>
                <c:pt idx="0">
                  <c:v>Onay Bekliyor</c:v>
                </c:pt>
                <c:pt idx="1">
                  <c:v>Onaylandı</c:v>
                </c:pt>
                <c:pt idx="2">
                  <c:v>Askıya Alındı</c:v>
                </c:pt>
                <c:pt idx="3">
                  <c:v>İptal Edildi</c:v>
                </c:pt>
                <c:pt idx="4">
                  <c:v>Fatura Kesildi</c:v>
                </c:pt>
                <c:pt idx="5">
                  <c:v>Üretime Bildirildi</c:v>
                </c:pt>
                <c:pt idx="6">
                  <c:v>Beklemede</c:v>
                </c:pt>
              </c:strCache>
            </c:strRef>
          </c:cat>
          <c:val>
            <c:numRef>
              <c:f>Dashboard!$C$14:$I$14</c:f>
              <c:numCache>
                <c:formatCode>#,##0;\-#,##0;\-</c:formatCode>
                <c:ptCount val="7"/>
                <c:pt idx="0">
                  <c:v>0</c:v>
                </c:pt>
                <c:pt idx="1">
                  <c:v>0</c:v>
                </c:pt>
                <c:pt idx="2">
                  <c:v>1</c:v>
                </c:pt>
                <c:pt idx="3">
                  <c:v>1</c:v>
                </c:pt>
                <c:pt idx="4">
                  <c:v>0</c:v>
                </c:pt>
                <c:pt idx="5">
                  <c:v>0</c:v>
                </c:pt>
                <c:pt idx="6">
                  <c:v>1</c:v>
                </c:pt>
              </c:numCache>
            </c:numRef>
          </c:val>
          <c:extLst>
            <c:ext xmlns:c16="http://schemas.microsoft.com/office/drawing/2014/chart" uri="{C3380CC4-5D6E-409C-BE32-E72D297353CC}">
              <c16:uniqueId val="{00000003-629A-4E17-AA0B-8FD2C9B97679}"/>
            </c:ext>
          </c:extLst>
        </c:ser>
        <c:dLbls>
          <c:showLegendKey val="0"/>
          <c:showVal val="0"/>
          <c:showCatName val="0"/>
          <c:showSerName val="0"/>
          <c:showPercent val="0"/>
          <c:showBubbleSize val="0"/>
        </c:dLbls>
        <c:gapWidth val="150"/>
        <c:overlap val="100"/>
        <c:axId val="919467752"/>
        <c:axId val="919469912"/>
      </c:barChart>
      <c:catAx>
        <c:axId val="919467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919469912"/>
        <c:crosses val="autoZero"/>
        <c:auto val="1"/>
        <c:lblAlgn val="ctr"/>
        <c:lblOffset val="100"/>
        <c:noMultiLvlLbl val="0"/>
      </c:catAx>
      <c:valAx>
        <c:axId val="9194699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919467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142875</xdr:colOff>
      <xdr:row>8</xdr:row>
      <xdr:rowOff>157161</xdr:rowOff>
    </xdr:from>
    <xdr:to>
      <xdr:col>15</xdr:col>
      <xdr:colOff>561975</xdr:colOff>
      <xdr:row>29</xdr:row>
      <xdr:rowOff>114300</xdr:rowOff>
    </xdr:to>
    <xdr:graphicFrame macro="">
      <xdr:nvGraphicFramePr>
        <xdr:cNvPr id="2" name="Grafik 1">
          <a:extLst>
            <a:ext uri="{FF2B5EF4-FFF2-40B4-BE49-F238E27FC236}">
              <a16:creationId xmlns:a16="http://schemas.microsoft.com/office/drawing/2014/main" id="{2F5FA846-C12E-E72B-8113-6EF0E98764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581025</xdr:colOff>
      <xdr:row>6</xdr:row>
      <xdr:rowOff>53788</xdr:rowOff>
    </xdr:from>
    <xdr:to>
      <xdr:col>16</xdr:col>
      <xdr:colOff>90251</xdr:colOff>
      <xdr:row>11</xdr:row>
      <xdr:rowOff>15732</xdr:rowOff>
    </xdr:to>
    <xdr:pic macro="[0]!TeklifSistemi_AnaKayit">
      <xdr:nvPicPr>
        <xdr:cNvPr id="7" name="Resim 6">
          <a:extLst>
            <a:ext uri="{FF2B5EF4-FFF2-40B4-BE49-F238E27FC236}">
              <a16:creationId xmlns:a16="http://schemas.microsoft.com/office/drawing/2014/main" id="{0D9B4C28-79E1-21F2-8104-AC10711F91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2643" y="1196788"/>
          <a:ext cx="909961" cy="914444"/>
        </a:xfrm>
        <a:prstGeom prst="rect">
          <a:avLst/>
        </a:prstGeom>
      </xdr:spPr>
    </xdr:pic>
    <xdr:clientData/>
  </xdr:twoCellAnchor>
  <xdr:twoCellAnchor>
    <xdr:from>
      <xdr:col>16</xdr:col>
      <xdr:colOff>493059</xdr:colOff>
      <xdr:row>6</xdr:row>
      <xdr:rowOff>179294</xdr:rowOff>
    </xdr:from>
    <xdr:to>
      <xdr:col>19</xdr:col>
      <xdr:colOff>560294</xdr:colOff>
      <xdr:row>10</xdr:row>
      <xdr:rowOff>22411</xdr:rowOff>
    </xdr:to>
    <xdr:sp macro="[0]!FormuTemizle" textlink="">
      <xdr:nvSpPr>
        <xdr:cNvPr id="3" name="Dikdörtgen: Köşeleri Yuvarlatılmış 2">
          <a:extLst>
            <a:ext uri="{FF2B5EF4-FFF2-40B4-BE49-F238E27FC236}">
              <a16:creationId xmlns:a16="http://schemas.microsoft.com/office/drawing/2014/main" id="{27B2597D-6817-630D-279D-E93CA203D09F}"/>
            </a:ext>
          </a:extLst>
        </xdr:cNvPr>
        <xdr:cNvSpPr/>
      </xdr:nvSpPr>
      <xdr:spPr>
        <a:xfrm>
          <a:off x="8785412" y="1322294"/>
          <a:ext cx="2140323" cy="605117"/>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tr-TR" sz="1600" b="1"/>
            <a:t>Form</a:t>
          </a:r>
          <a:r>
            <a:rPr lang="tr-TR" sz="1600" b="1" baseline="0"/>
            <a:t> İçeriğini Temizle</a:t>
          </a:r>
          <a:endParaRPr lang="tr-TR" sz="1600" b="1"/>
        </a:p>
      </xdr:txBody>
    </xdr:sp>
    <xdr:clientData/>
  </xdr:twoCellAnchor>
  <xdr:oneCellAnchor>
    <xdr:from>
      <xdr:col>0</xdr:col>
      <xdr:colOff>0</xdr:colOff>
      <xdr:row>0</xdr:row>
      <xdr:rowOff>74639</xdr:rowOff>
    </xdr:from>
    <xdr:ext cx="1233299" cy="593239"/>
    <xdr:sp macro="" textlink="">
      <xdr:nvSpPr>
        <xdr:cNvPr id="4" name="Dikdörtgen 3">
          <a:extLst>
            <a:ext uri="{FF2B5EF4-FFF2-40B4-BE49-F238E27FC236}">
              <a16:creationId xmlns:a16="http://schemas.microsoft.com/office/drawing/2014/main" id="{C401D09D-34F8-BBFF-F90C-CDB6AAF3835C}"/>
            </a:ext>
          </a:extLst>
        </xdr:cNvPr>
        <xdr:cNvSpPr/>
      </xdr:nvSpPr>
      <xdr:spPr>
        <a:xfrm>
          <a:off x="0" y="74639"/>
          <a:ext cx="1233299" cy="593239"/>
        </a:xfrm>
        <a:prstGeom prst="rect">
          <a:avLst/>
        </a:prstGeom>
        <a:noFill/>
      </xdr:spPr>
      <xdr:txBody>
        <a:bodyPr wrap="square" lIns="91440" tIns="45720" rIns="91440" bIns="45720">
          <a:spAutoFit/>
        </a:bodyPr>
        <a:lstStyle/>
        <a:p>
          <a:pPr algn="ctr"/>
          <a:r>
            <a:rPr lang="tr-TR" sz="32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LOGO</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2AD5DF-6C5E-4DBB-9271-2408AD0D6EDD}" name="Tablo1" displayName="Tablo1" ref="A1:Y20" totalsRowShown="0" headerRowDxfId="72" dataDxfId="70" headerRowBorderDxfId="71" tableBorderDxfId="69">
  <autoFilter ref="A1:Y20" xr:uid="{142AD5DF-6C5E-4DBB-9271-2408AD0D6EDD}"/>
  <tableColumns count="25">
    <tableColumn id="1" xr3:uid="{58759037-61C7-420D-B73D-1B1ED384D730}" name="GMid" dataDxfId="68"/>
    <tableColumn id="2" xr3:uid="{D8DEE757-3183-4719-AC7D-C73522D81F0C}" name="Dönem" dataDxfId="67"/>
    <tableColumn id="3" xr3:uid="{7EB625B9-A7C5-4E76-8365-37AF08AED5B7}" name="Yıl" dataDxfId="66"/>
    <tableColumn id="4" xr3:uid="{64DB2DC3-9345-42C7-A766-E3E3CEA0747F}" name="Teklif Tarihi" dataDxfId="65"/>
    <tableColumn id="5" xr3:uid="{F2EF3BF3-7D1E-48F9-8555-3DD3B9708112}" name="Teklif No" dataDxfId="64"/>
    <tableColumn id="6" xr3:uid="{C0268464-599F-4131-8E80-C9E07E37F3AA}" name="Revizyon" dataDxfId="63"/>
    <tableColumn id="7" xr3:uid="{3DD02D41-6158-4A49-80C2-680411546CA8}" name="PDF Linki" dataDxfId="62" dataCellStyle="Köprü"/>
    <tableColumn id="8" xr3:uid="{252A62F0-AC17-4C8B-AC3C-113753E708EC}" name="T.Bitiş Tarihi" dataDxfId="61"/>
    <tableColumn id="9" xr3:uid="{7AE1CA4E-EBD1-4DF5-86FD-87E32654E82E}" name="T.Bitiş.Kalan Gün" dataDxfId="60">
      <calculatedColumnFormula>IF(Tablo1[[#This Row],[Durumu]]="Fatura Kesildi","Fatura Oluşturuldu",IF(Tablo1[[#This Row],[Durumu]]="İptal Edildi","Sipariş İptal",IF(Tablo1[[#This Row],[T.Bitiş Tarihi]]="","",IF(INT(Tablo1[[#This Row],[T.Bitiş Tarihi]])-TODAY()&lt;0,(INT(Tablo1[[#This Row],[T.Bitiş Tarihi]])-TODAY())&amp;" Süre Doldu",(INT(Tablo1[[#This Row],[T.Bitiş Tarihi]])-TODAY())&amp;" Gün Kaldı"))))</calculatedColumnFormula>
    </tableColumn>
    <tableColumn id="10" xr3:uid="{F879C751-08EB-4B3C-B7A8-88471E40C53C}" name="Teklif Veren" dataDxfId="59"/>
    <tableColumn id="11" xr3:uid="{0AB242D2-54D4-42AB-BB72-A22A0B4E33D2}" name="Müşteri Adı" dataDxfId="58"/>
    <tableColumn id="12" xr3:uid="{723A88F1-27F5-4B80-88D5-29F6F63F55A1}" name="Önem Derecesi" dataDxfId="57"/>
    <tableColumn id="13" xr3:uid="{1AB9865F-8AB3-446A-A0BD-E69DA4ADA9A7}" name="Durumu" dataDxfId="56"/>
    <tableColumn id="14" xr3:uid="{CED2B169-8C7C-423E-9052-ED8F5C13F7B1}" name="Para Birimi" dataDxfId="55"/>
    <tableColumn id="15" xr3:uid="{BE639538-EA0B-48E8-8B35-29D029A5ADB4}" name="G.İskonto %" dataDxfId="54" dataCellStyle="Yüzde"/>
    <tableColumn id="16" xr3:uid="{D95F88ED-6A1A-43F1-93E7-A9227B84E383}" name="KDV %" dataDxfId="53" dataCellStyle="Yüzde"/>
    <tableColumn id="25" xr3:uid="{0ED19745-2E3A-4D03-9E78-68F45E252621}" name="Sütun1" dataDxfId="52" dataCellStyle="Yüzde"/>
    <tableColumn id="17" xr3:uid="{B656CFC6-D23D-4523-819A-A33395C4C42A}" name="Genel Toplam" dataDxfId="51"/>
    <tableColumn id="18" xr3:uid="{5F8A3E82-3D73-45E7-9A82-023EE80126A6}" name="Toplam İskonto" dataDxfId="50"/>
    <tableColumn id="19" xr3:uid="{4CF8E119-2053-4382-96EC-C6707AF33C3A}" name="Ara Toplam" dataDxfId="49"/>
    <tableColumn id="20" xr3:uid="{FBEDEBE6-92E7-4527-81F8-FEE9EB7D365E}" name="KDV Toplam" dataDxfId="48"/>
    <tableColumn id="21" xr3:uid="{1BDDA153-4CF6-4CE0-ABFF-B61BC032F4E4}" name="Toplam" dataDxfId="47"/>
    <tableColumn id="22" xr3:uid="{D9D4DD74-5CF0-4424-9DEB-DD25D23FA5B7}" name="PO Tarihi" dataDxfId="46"/>
    <tableColumn id="23" xr3:uid="{8F8A0AF8-B9FD-4C9B-98C6-A9670F24E10F}" name="PO No" dataDxfId="45"/>
    <tableColumn id="24" xr3:uid="{F7C61CAD-61B6-41D3-8C5A-71BBFADF92D8}" name="Link PDF" dataDxfId="44" dataCellStyle="Köprü"/>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C3F26D5-C03B-4998-A64A-9DA2D8044588}" name="Tablo2" displayName="Tablo2" ref="A1:T81" totalsRowShown="0" headerRowDxfId="39" dataDxfId="37" headerRowBorderDxfId="38" tableBorderDxfId="36">
  <autoFilter ref="A1:T81" xr:uid="{7C3F26D5-C03B-4998-A64A-9DA2D8044588}"/>
  <tableColumns count="20">
    <tableColumn id="1" xr3:uid="{538152C3-042F-4A75-B3E5-FC205FA99186}" name="BMid" dataDxfId="35"/>
    <tableColumn id="2" xr3:uid="{40437DE1-856B-4F38-A297-40B0ED77C01C}" name="Dönem" dataDxfId="34"/>
    <tableColumn id="3" xr3:uid="{A2037562-CCD9-45F5-A5D1-ADB68A874F73}" name="Yıl" dataDxfId="33"/>
    <tableColumn id="4" xr3:uid="{BD2B1D71-4DC6-47A2-8863-6E5ABF22BFE8}" name="Teklif Tarihi" dataDxfId="32"/>
    <tableColumn id="5" xr3:uid="{D700E00D-C472-4682-A9E9-EB4D17A846F4}" name="Teklif No" dataDxfId="31"/>
    <tableColumn id="6" xr3:uid="{ABC67595-6712-4119-9B8C-9BC0481A395F}" name="Revizyon" dataDxfId="30"/>
    <tableColumn id="7" xr3:uid="{31FF907A-A0F0-426B-9DD5-5F6A480C174E}" name="PDF linki" dataDxfId="29" dataCellStyle="Köprü"/>
    <tableColumn id="8" xr3:uid="{40BB6EB5-CECA-4492-9B0C-A49F55A8A58E}" name="T.Bitiş Tarihi" dataDxfId="28"/>
    <tableColumn id="9" xr3:uid="{0B2890F7-5719-4F2C-9E9F-C626D76877B8}" name="T.Bitiş.Kalan Gün" dataDxfId="27"/>
    <tableColumn id="10" xr3:uid="{EA2E73A0-9E2C-4819-B50E-62F88FFE4E90}" name="Teklif Veren" dataDxfId="26"/>
    <tableColumn id="11" xr3:uid="{46CDA21E-7C7D-47A3-BBCB-64343D64A573}" name="Ürün Adı" dataDxfId="25"/>
    <tableColumn id="12" xr3:uid="{E03504E7-F8B4-4C13-AECB-3B8CD3FEA04B}" name="Müşteri Adı" dataDxfId="24"/>
    <tableColumn id="13" xr3:uid="{A9FCC8D8-D183-4A3F-9AC2-35C098725067}" name="Önem Derecesi" dataDxfId="23"/>
    <tableColumn id="14" xr3:uid="{6FF4AB7C-2F3E-46DB-B07A-CD8D66AA2D2A}" name="Durumu" dataDxfId="22"/>
    <tableColumn id="15" xr3:uid="{49E25225-1833-4052-8976-5E1F6DA00DD5}" name="Para Birimi" dataDxfId="21"/>
    <tableColumn id="16" xr3:uid="{B140BA71-0F07-44B0-954C-44E199AD8363}" name="Miktar" dataDxfId="20"/>
    <tableColumn id="17" xr3:uid="{53AB2C76-314A-414A-A303-418B9AEA4E34}" name="Birim Fiyat" dataDxfId="19"/>
    <tableColumn id="18" xr3:uid="{8AAB5061-BA6C-4572-BCF6-DB4A10466B2D}" name="İskonto %" dataDxfId="18" dataCellStyle="Yüzde"/>
    <tableColumn id="19" xr3:uid="{05D34168-FE99-428E-8BB7-42A12D2907EA}" name="Genel Satır İskonto Toplamı" dataDxfId="17"/>
    <tableColumn id="20" xr3:uid="{027543F5-B798-491B-AE57-9E9FCAA90AF5}" name="Genel Satır Toplam" dataDxfId="16"/>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5F9210D-08D2-44DE-BD8E-FC0F0D8D3C96}" name="Tablo12" displayName="Tablo12" ref="A1:L16" totalsRowShown="0" headerRowDxfId="15" dataDxfId="13" headerRowBorderDxfId="14" tableBorderDxfId="12">
  <autoFilter ref="A1:L16" xr:uid="{15F9210D-08D2-44DE-BD8E-FC0F0D8D3C96}"/>
  <tableColumns count="12">
    <tableColumn id="1" xr3:uid="{0E1334F1-D5F3-47E2-9C34-3EAB20AC2231}" name="Aid" dataDxfId="11"/>
    <tableColumn id="2" xr3:uid="{D2441480-BBD5-4ADD-B8BF-713D4A9810B6}" name="Önem Derecesi" dataDxfId="10"/>
    <tableColumn id="3" xr3:uid="{199195EB-9EA0-4526-8B7D-5E1E5D7B9437}" name="Durum" dataDxfId="9"/>
    <tableColumn id="8" xr3:uid="{4D1B5746-8686-4560-843C-5E198E69323E}" name="Durum2" dataDxfId="8"/>
    <tableColumn id="4" xr3:uid="{73FE9991-3A49-4E50-8E90-30E145353EA0}" name="Süreç Sorumlusu" dataDxfId="7"/>
    <tableColumn id="5" xr3:uid="{A0DA65D3-F3BA-4191-8E26-A0A32AA14AAB}" name="Teklif Veren" dataDxfId="6"/>
    <tableColumn id="6" xr3:uid="{0B27A467-8062-494C-8181-563DBC2AC595}" name="Para Birimi" dataDxfId="5"/>
    <tableColumn id="7" xr3:uid="{7A954F1D-BB8A-41E9-8C08-2FD8CA51CE02}" name="Unvan" dataDxfId="4"/>
    <tableColumn id="9" xr3:uid="{73EA6F36-F7FD-4896-8CC4-B85ABABC1E45}" name="Yıllar" dataDxfId="3"/>
    <tableColumn id="10" xr3:uid="{0CDB86A4-36FA-497A-B805-9AA5592C8013}" name="Aylar" dataDxfId="2"/>
    <tableColumn id="11" xr3:uid="{5E6D00A6-AE76-4E4B-BDEE-C2E2F98F69A0}" name="Müşteriler" dataDxfId="1"/>
    <tableColumn id="12" xr3:uid="{D00CA447-4339-4F69-A82D-626331EEEAAC}" name="Ürün Adları" dataDxfId="0"/>
  </tableColumns>
  <tableStyleInfo name="TableStyleMedium14" showFirstColumn="0" showLastColumn="0" showRowStripes="1" showColumnStripes="0"/>
</table>
</file>

<file path=xl/theme/theme1.xml><?xml version="1.0" encoding="utf-8"?>
<a:theme xmlns:a="http://schemas.openxmlformats.org/drawingml/2006/main" name="Office Teması">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hyperlink" Target="01O20260125_R1_08.01.2026_M&#252;&#351;teri-11.pdf" TargetMode="External"/><Relationship Id="rId13" Type="http://schemas.openxmlformats.org/officeDocument/2006/relationships/hyperlink" Target="05O20260108_&#304;lk%20Kay&#305;t_08.01.2026_M&#252;&#351;teri-2.pdf" TargetMode="External"/><Relationship Id="rId18" Type="http://schemas.openxmlformats.org/officeDocument/2006/relationships/hyperlink" Target="01O20260125_R2_08.01.2026_M&#252;&#351;teri-11.pdf" TargetMode="External"/><Relationship Id="rId3" Type="http://schemas.openxmlformats.org/officeDocument/2006/relationships/hyperlink" Target="01O20260109_&#304;lk%20Kay&#305;t_08.12.2025_M&#252;&#351;teri-3.pdf" TargetMode="External"/><Relationship Id="rId7" Type="http://schemas.openxmlformats.org/officeDocument/2006/relationships/hyperlink" Target="01O20260125_&#304;lk%20Kay&#305;t_08.01.2026_M&#252;&#351;teri-11.pdf" TargetMode="External"/><Relationship Id="rId12" Type="http://schemas.openxmlformats.org/officeDocument/2006/relationships/hyperlink" Target="01O20260312_&#304;lk%20Kay&#305;t_05.01.2026_M&#252;&#351;teri-1.pdf" TargetMode="External"/><Relationship Id="rId17" Type="http://schemas.openxmlformats.org/officeDocument/2006/relationships/hyperlink" Target="01S20260109_&#304;lk%20Kay&#305;t_09.01.2026_M&#252;&#351;teri-14.pdf" TargetMode="External"/><Relationship Id="rId2" Type="http://schemas.openxmlformats.org/officeDocument/2006/relationships/hyperlink" Target="01O20260107_&#304;lk%20Kay&#305;t_08.01.2025_M&#252;&#351;teri-1.pdf" TargetMode="External"/><Relationship Id="rId16" Type="http://schemas.openxmlformats.org/officeDocument/2006/relationships/hyperlink" Target="01S20260109_R1_09.01.2026_M&#252;&#351;teri-13.pdf" TargetMode="External"/><Relationship Id="rId20" Type="http://schemas.openxmlformats.org/officeDocument/2006/relationships/table" Target="../tables/table1.xml"/><Relationship Id="rId1" Type="http://schemas.openxmlformats.org/officeDocument/2006/relationships/hyperlink" Target="01O20260105_&#304;lk%20Kay&#305;t_08.01.2025_M&#252;&#351;teri-4.pdf" TargetMode="External"/><Relationship Id="rId6" Type="http://schemas.openxmlformats.org/officeDocument/2006/relationships/hyperlink" Target="01O20260125_&#304;lk%20Kay&#305;t_08.01.2026_M&#252;&#351;teri-6.pdf" TargetMode="External"/><Relationship Id="rId11" Type="http://schemas.openxmlformats.org/officeDocument/2006/relationships/hyperlink" Target="01O20260312_&#304;lk%20Kay&#305;t_05.01.2026_M&#252;&#351;teri-9.pdf" TargetMode="External"/><Relationship Id="rId5" Type="http://schemas.openxmlformats.org/officeDocument/2006/relationships/hyperlink" Target="01O20260120_&#304;lk%20Kay&#305;t_08.01.2026_M&#252;&#351;teri-10.pdf" TargetMode="External"/><Relationship Id="rId15" Type="http://schemas.openxmlformats.org/officeDocument/2006/relationships/hyperlink" Target="01S20260109_&#304;lk%20Kay&#305;t_09.01.2026_M&#252;&#351;teri-13.pdf" TargetMode="External"/><Relationship Id="rId10" Type="http://schemas.openxmlformats.org/officeDocument/2006/relationships/hyperlink" Target="01O20260301_&#304;lk%20Kay&#305;t_05.01.2026_M&#252;&#351;teri-14.pdf" TargetMode="External"/><Relationship Id="rId19" Type="http://schemas.openxmlformats.org/officeDocument/2006/relationships/hyperlink" Target="Teklifler/01S20260110_&#304;lk%20Kay&#305;t_09.01.2026_M&#252;&#351;teri-9.pdf" TargetMode="External"/><Relationship Id="rId4" Type="http://schemas.openxmlformats.org/officeDocument/2006/relationships/hyperlink" Target="01O20260109_R1_08.12.2025_M&#252;&#351;teri-3.pdf" TargetMode="External"/><Relationship Id="rId9" Type="http://schemas.openxmlformats.org/officeDocument/2006/relationships/hyperlink" Target="01O20260300_&#304;lk%20Kay&#305;t_08.01.2026_M&#252;&#351;teri-14.pdf" TargetMode="External"/><Relationship Id="rId14" Type="http://schemas.openxmlformats.org/officeDocument/2006/relationships/hyperlink" Target="Teklifler/05O20260111_&#304;lk%20Kay&#305;t_08.01.2026_M&#252;&#351;teri-3.pdf"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01O20260109_&#304;lk%20Kay&#305;t_08.12.2025_M&#252;&#351;teri-3.pdf" TargetMode="External"/><Relationship Id="rId18" Type="http://schemas.openxmlformats.org/officeDocument/2006/relationships/hyperlink" Target="01O20260109_R1_08.12.2025_M&#252;&#351;teri-3.pdf" TargetMode="External"/><Relationship Id="rId26" Type="http://schemas.openxmlformats.org/officeDocument/2006/relationships/hyperlink" Target="01O20260125_&#304;lk%20Kay&#305;t_08.01.2026_M&#252;&#351;teri-6.pdf" TargetMode="External"/><Relationship Id="rId39" Type="http://schemas.openxmlformats.org/officeDocument/2006/relationships/hyperlink" Target="01O20260125_R1_08.01.2026_M&#252;&#351;teri-11.pdf" TargetMode="External"/><Relationship Id="rId21" Type="http://schemas.openxmlformats.org/officeDocument/2006/relationships/hyperlink" Target="01O20260120_&#304;lk%20Kay&#305;t_08.01.2026_M&#252;&#351;teri-10.pdf" TargetMode="External"/><Relationship Id="rId34" Type="http://schemas.openxmlformats.org/officeDocument/2006/relationships/hyperlink" Target="01O20260125_&#304;lk%20Kay&#305;t_08.01.2026_M&#252;&#351;teri-11.pdf" TargetMode="External"/><Relationship Id="rId42" Type="http://schemas.openxmlformats.org/officeDocument/2006/relationships/hyperlink" Target="01O20260125_R2_08.01.2026_M&#252;&#351;teri-11.pdf" TargetMode="External"/><Relationship Id="rId47" Type="http://schemas.openxmlformats.org/officeDocument/2006/relationships/hyperlink" Target="01O20260300_&#304;lk%20Kay&#305;t_08.01.2026_M&#252;&#351;teri-14.pdf" TargetMode="External"/><Relationship Id="rId50" Type="http://schemas.openxmlformats.org/officeDocument/2006/relationships/hyperlink" Target="01O20260300_&#304;lk%20Kay&#305;t_08.01.2026_M&#252;&#351;teri-14.pdf" TargetMode="External"/><Relationship Id="rId55" Type="http://schemas.openxmlformats.org/officeDocument/2006/relationships/hyperlink" Target="01O20260301_&#304;lk%20Kay&#305;t_05.01.2026_M&#252;&#351;teri-14.pdf" TargetMode="External"/><Relationship Id="rId63" Type="http://schemas.openxmlformats.org/officeDocument/2006/relationships/hyperlink" Target="01O20260312_R1_05.01.2026_M&#252;&#351;teri-9.pdf" TargetMode="External"/><Relationship Id="rId68" Type="http://schemas.openxmlformats.org/officeDocument/2006/relationships/hyperlink" Target="Teklifler/05O20260111_&#304;lk%20Kay&#305;t_08.01.2026_M&#252;&#351;teri-3.pdf" TargetMode="External"/><Relationship Id="rId76" Type="http://schemas.openxmlformats.org/officeDocument/2006/relationships/hyperlink" Target="01S20260109_&#304;lk%20Kay&#305;t_09.01.2026_M&#252;&#351;teri-14.pdf" TargetMode="External"/><Relationship Id="rId7" Type="http://schemas.openxmlformats.org/officeDocument/2006/relationships/hyperlink" Target="01O20260107_&#304;lk%20Kay&#305;t_08.01.2025_M&#252;&#351;teri-1.pdf" TargetMode="External"/><Relationship Id="rId71" Type="http://schemas.openxmlformats.org/officeDocument/2006/relationships/hyperlink" Target="01S20260109_&#304;lk%20Kay&#305;t_09.01.2026_M&#252;&#351;teri-13.pdf" TargetMode="External"/><Relationship Id="rId2" Type="http://schemas.openxmlformats.org/officeDocument/2006/relationships/hyperlink" Target="01O20260105_&#304;lk%20Kay&#305;t_08.01.2025_M&#252;&#351;teri-4.pdf" TargetMode="External"/><Relationship Id="rId16" Type="http://schemas.openxmlformats.org/officeDocument/2006/relationships/hyperlink" Target="01O20260109_R1_08.12.2025_M&#252;&#351;teri-3.pdf" TargetMode="External"/><Relationship Id="rId29" Type="http://schemas.openxmlformats.org/officeDocument/2006/relationships/hyperlink" Target="01O20260125_&#304;lk%20Kay&#305;t_08.01.2026_M&#252;&#351;teri-6.pdf" TargetMode="External"/><Relationship Id="rId11" Type="http://schemas.openxmlformats.org/officeDocument/2006/relationships/hyperlink" Target="01O20260109_&#304;lk%20Kay&#305;t_08.12.2025_M&#252;&#351;teri-3.pdf" TargetMode="External"/><Relationship Id="rId24" Type="http://schemas.openxmlformats.org/officeDocument/2006/relationships/hyperlink" Target="01O20260120_&#304;lk%20Kay&#305;t_08.01.2026_M&#252;&#351;teri-10.pdf" TargetMode="External"/><Relationship Id="rId32" Type="http://schemas.openxmlformats.org/officeDocument/2006/relationships/hyperlink" Target="01O20260125_&#304;lk%20Kay&#305;t_08.01.2026_M&#252;&#351;teri-11.pdf" TargetMode="External"/><Relationship Id="rId37" Type="http://schemas.openxmlformats.org/officeDocument/2006/relationships/hyperlink" Target="01O20260125_R1_08.01.2026_M&#252;&#351;teri-11.pdf" TargetMode="External"/><Relationship Id="rId40" Type="http://schemas.openxmlformats.org/officeDocument/2006/relationships/hyperlink" Target="01O20260125_R1_08.01.2026_M&#252;&#351;teri-11.pdf" TargetMode="External"/><Relationship Id="rId45" Type="http://schemas.openxmlformats.org/officeDocument/2006/relationships/hyperlink" Target="01O20260125_R2_08.01.2026_M&#252;&#351;teri-11.pdf" TargetMode="External"/><Relationship Id="rId53" Type="http://schemas.openxmlformats.org/officeDocument/2006/relationships/hyperlink" Target="01O20260301_&#304;lk%20Kay&#305;t_05.01.2026_M&#252;&#351;teri-14.pdf" TargetMode="External"/><Relationship Id="rId58" Type="http://schemas.openxmlformats.org/officeDocument/2006/relationships/hyperlink" Target="01O20260312_&#304;lk%20Kay&#305;t_05.01.2026_M&#252;&#351;teri-9.pdf" TargetMode="External"/><Relationship Id="rId66" Type="http://schemas.openxmlformats.org/officeDocument/2006/relationships/hyperlink" Target="05O20260108_&#304;lk%20Kay&#305;t_08.01.2026_M&#252;&#351;teri-2.pdf" TargetMode="External"/><Relationship Id="rId74" Type="http://schemas.openxmlformats.org/officeDocument/2006/relationships/hyperlink" Target="01S20260109_R1_09.01.2026_M&#252;&#351;teri-13.pdf" TargetMode="External"/><Relationship Id="rId79" Type="http://schemas.openxmlformats.org/officeDocument/2006/relationships/hyperlink" Target="Teklifler/01S20260110_&#304;lk%20Kay&#305;t_09.01.2026_M&#252;&#351;teri-9.pdf" TargetMode="External"/><Relationship Id="rId5" Type="http://schemas.openxmlformats.org/officeDocument/2006/relationships/hyperlink" Target="01O20260105_&#304;lk%20Kay&#305;t_08.01.2025_M&#252;&#351;teri-4.pdf" TargetMode="External"/><Relationship Id="rId61" Type="http://schemas.openxmlformats.org/officeDocument/2006/relationships/hyperlink" Target="01O20260312_R1_05.01.2026_M&#252;&#351;teri-9.pdf" TargetMode="External"/><Relationship Id="rId10" Type="http://schemas.openxmlformats.org/officeDocument/2006/relationships/hyperlink" Target="01O20260107_&#304;lk%20Kay&#305;t_08.01.2025_M&#252;&#351;teri-1.pdf" TargetMode="External"/><Relationship Id="rId19" Type="http://schemas.openxmlformats.org/officeDocument/2006/relationships/hyperlink" Target="01O20260109_R1_08.12.2025_M&#252;&#351;teri-3.pdf" TargetMode="External"/><Relationship Id="rId31" Type="http://schemas.openxmlformats.org/officeDocument/2006/relationships/hyperlink" Target="01O20260125_&#304;lk%20Kay&#305;t_08.01.2026_M&#252;&#351;teri-11.pdf" TargetMode="External"/><Relationship Id="rId44" Type="http://schemas.openxmlformats.org/officeDocument/2006/relationships/hyperlink" Target="01O20260125_R2_08.01.2026_M&#252;&#351;teri-11.pdf" TargetMode="External"/><Relationship Id="rId52" Type="http://schemas.openxmlformats.org/officeDocument/2006/relationships/hyperlink" Target="01O20260301_&#304;lk%20Kay&#305;t_05.01.2026_M&#252;&#351;teri-14.pdf" TargetMode="External"/><Relationship Id="rId60" Type="http://schemas.openxmlformats.org/officeDocument/2006/relationships/hyperlink" Target="01O20260312_&#304;lk%20Kay&#305;t_05.01.2026_M&#252;&#351;teri-9.pdf" TargetMode="External"/><Relationship Id="rId65" Type="http://schemas.openxmlformats.org/officeDocument/2006/relationships/hyperlink" Target="01O20260312_R1_05.01.2026_M&#252;&#351;teri-9.pdf" TargetMode="External"/><Relationship Id="rId73" Type="http://schemas.openxmlformats.org/officeDocument/2006/relationships/hyperlink" Target="01S20260109_R1_09.01.2026_M&#252;&#351;teri-13.pdf" TargetMode="External"/><Relationship Id="rId78" Type="http://schemas.openxmlformats.org/officeDocument/2006/relationships/hyperlink" Target="Teklifler/01S20260110_&#304;lk%20Kay&#305;t_09.01.2026_M&#252;&#351;teri-9.pdf" TargetMode="External"/><Relationship Id="rId81" Type="http://schemas.openxmlformats.org/officeDocument/2006/relationships/table" Target="../tables/table2.xml"/><Relationship Id="rId4" Type="http://schemas.openxmlformats.org/officeDocument/2006/relationships/hyperlink" Target="01O20260105_&#304;lk%20Kay&#305;t_08.01.2025_M&#252;&#351;teri-4.pdf" TargetMode="External"/><Relationship Id="rId9" Type="http://schemas.openxmlformats.org/officeDocument/2006/relationships/hyperlink" Target="01O20260107_&#304;lk%20Kay&#305;t_08.01.2025_M&#252;&#351;teri-1.pdf" TargetMode="External"/><Relationship Id="rId14" Type="http://schemas.openxmlformats.org/officeDocument/2006/relationships/hyperlink" Target="01O20260109_&#304;lk%20Kay&#305;t_08.12.2025_M&#252;&#351;teri-3.pdf" TargetMode="External"/><Relationship Id="rId22" Type="http://schemas.openxmlformats.org/officeDocument/2006/relationships/hyperlink" Target="01O20260120_&#304;lk%20Kay&#305;t_08.01.2026_M&#252;&#351;teri-10.pdf" TargetMode="External"/><Relationship Id="rId27" Type="http://schemas.openxmlformats.org/officeDocument/2006/relationships/hyperlink" Target="01O20260125_&#304;lk%20Kay&#305;t_08.01.2026_M&#252;&#351;teri-6.pdf" TargetMode="External"/><Relationship Id="rId30" Type="http://schemas.openxmlformats.org/officeDocument/2006/relationships/hyperlink" Target="01O20260125_&#304;lk%20Kay&#305;t_08.01.2026_M&#252;&#351;teri-6.pdf" TargetMode="External"/><Relationship Id="rId35" Type="http://schemas.openxmlformats.org/officeDocument/2006/relationships/hyperlink" Target="01O20260125_&#304;lk%20Kay&#305;t_08.01.2026_M&#252;&#351;teri-11.pdf" TargetMode="External"/><Relationship Id="rId43" Type="http://schemas.openxmlformats.org/officeDocument/2006/relationships/hyperlink" Target="01O20260125_R2_08.01.2026_M&#252;&#351;teri-11.pdf" TargetMode="External"/><Relationship Id="rId48" Type="http://schemas.openxmlformats.org/officeDocument/2006/relationships/hyperlink" Target="01O20260300_&#304;lk%20Kay&#305;t_08.01.2026_M&#252;&#351;teri-14.pdf" TargetMode="External"/><Relationship Id="rId56" Type="http://schemas.openxmlformats.org/officeDocument/2006/relationships/hyperlink" Target="01O20260312_&#304;lk%20Kay&#305;t_05.01.2026_M&#252;&#351;teri-9.pdf" TargetMode="External"/><Relationship Id="rId64" Type="http://schemas.openxmlformats.org/officeDocument/2006/relationships/hyperlink" Target="01O20260312_R1_05.01.2026_M&#252;&#351;teri-9.pdf" TargetMode="External"/><Relationship Id="rId69" Type="http://schemas.openxmlformats.org/officeDocument/2006/relationships/hyperlink" Target="Teklifler/05O20260111_&#304;lk%20Kay&#305;t_08.01.2026_M&#252;&#351;teri-3.pdf" TargetMode="External"/><Relationship Id="rId77" Type="http://schemas.openxmlformats.org/officeDocument/2006/relationships/hyperlink" Target="01S20260109_&#304;lk%20Kay&#305;t_09.01.2026_M&#252;&#351;teri-14.pdf" TargetMode="External"/><Relationship Id="rId8" Type="http://schemas.openxmlformats.org/officeDocument/2006/relationships/hyperlink" Target="01O20260107_&#304;lk%20Kay&#305;t_08.01.2025_M&#252;&#351;teri-1.pdf" TargetMode="External"/><Relationship Id="rId51" Type="http://schemas.openxmlformats.org/officeDocument/2006/relationships/hyperlink" Target="01O20260301_&#304;lk%20Kay&#305;t_05.01.2026_M&#252;&#351;teri-14.pdf" TargetMode="External"/><Relationship Id="rId72" Type="http://schemas.openxmlformats.org/officeDocument/2006/relationships/hyperlink" Target="01S20260109_R1_09.01.2026_M&#252;&#351;teri-13.pdf" TargetMode="External"/><Relationship Id="rId80" Type="http://schemas.openxmlformats.org/officeDocument/2006/relationships/hyperlink" Target="Teklifler/01S20260110_&#304;lk%20Kay&#305;t_09.01.2026_M&#252;&#351;teri-9.pdf" TargetMode="External"/><Relationship Id="rId3" Type="http://schemas.openxmlformats.org/officeDocument/2006/relationships/hyperlink" Target="01O20260105_&#304;lk%20Kay&#305;t_08.01.2025_M&#252;&#351;teri-4.pdf" TargetMode="External"/><Relationship Id="rId12" Type="http://schemas.openxmlformats.org/officeDocument/2006/relationships/hyperlink" Target="01O20260109_&#304;lk%20Kay&#305;t_08.12.2025_M&#252;&#351;teri-3.pdf" TargetMode="External"/><Relationship Id="rId17" Type="http://schemas.openxmlformats.org/officeDocument/2006/relationships/hyperlink" Target="01O20260109_R1_08.12.2025_M&#252;&#351;teri-3.pdf" TargetMode="External"/><Relationship Id="rId25" Type="http://schemas.openxmlformats.org/officeDocument/2006/relationships/hyperlink" Target="01O20260120_&#304;lk%20Kay&#305;t_08.01.2026_M&#252;&#351;teri-10.pdf" TargetMode="External"/><Relationship Id="rId33" Type="http://schemas.openxmlformats.org/officeDocument/2006/relationships/hyperlink" Target="01O20260125_&#304;lk%20Kay&#305;t_08.01.2026_M&#252;&#351;teri-11.pdf" TargetMode="External"/><Relationship Id="rId38" Type="http://schemas.openxmlformats.org/officeDocument/2006/relationships/hyperlink" Target="01O20260125_R1_08.01.2026_M&#252;&#351;teri-11.pdf" TargetMode="External"/><Relationship Id="rId46" Type="http://schemas.openxmlformats.org/officeDocument/2006/relationships/hyperlink" Target="01O20260300_&#304;lk%20Kay&#305;t_08.01.2026_M&#252;&#351;teri-14.pdf" TargetMode="External"/><Relationship Id="rId59" Type="http://schemas.openxmlformats.org/officeDocument/2006/relationships/hyperlink" Target="01O20260312_&#304;lk%20Kay&#305;t_05.01.2026_M&#252;&#351;teri-9.pdf" TargetMode="External"/><Relationship Id="rId67" Type="http://schemas.openxmlformats.org/officeDocument/2006/relationships/hyperlink" Target="05O20260108_&#304;lk%20Kay&#305;t_08.01.2026_M&#252;&#351;teri-2.pdf" TargetMode="External"/><Relationship Id="rId20" Type="http://schemas.openxmlformats.org/officeDocument/2006/relationships/hyperlink" Target="01O20260109_R1_08.12.2025_M&#252;&#351;teri-3.pdf" TargetMode="External"/><Relationship Id="rId41" Type="http://schemas.openxmlformats.org/officeDocument/2006/relationships/hyperlink" Target="01O20260125_R2_08.01.2026_M&#252;&#351;teri-11.pdf" TargetMode="External"/><Relationship Id="rId54" Type="http://schemas.openxmlformats.org/officeDocument/2006/relationships/hyperlink" Target="01O20260301_&#304;lk%20Kay&#305;t_05.01.2026_M&#252;&#351;teri-14.pdf" TargetMode="External"/><Relationship Id="rId62" Type="http://schemas.openxmlformats.org/officeDocument/2006/relationships/hyperlink" Target="01O20260312_R1_05.01.2026_M&#252;&#351;teri-9.pdf" TargetMode="External"/><Relationship Id="rId70" Type="http://schemas.openxmlformats.org/officeDocument/2006/relationships/hyperlink" Target="01S20260109_&#304;lk%20Kay&#305;t_09.01.2026_M&#252;&#351;teri-13.pdf" TargetMode="External"/><Relationship Id="rId75" Type="http://schemas.openxmlformats.org/officeDocument/2006/relationships/hyperlink" Target="01S20260109_&#304;lk%20Kay&#305;t_09.01.2026_M&#252;&#351;teri-14.pdf" TargetMode="External"/><Relationship Id="rId1" Type="http://schemas.openxmlformats.org/officeDocument/2006/relationships/hyperlink" Target="01O20260105_&#304;lk%20Kay&#305;t_08.01.2025_M&#252;&#351;teri-4.pdf" TargetMode="External"/><Relationship Id="rId6" Type="http://schemas.openxmlformats.org/officeDocument/2006/relationships/hyperlink" Target="01O20260107_&#304;lk%20Kay&#305;t_08.01.2025_M&#252;&#351;teri-1.pdf" TargetMode="External"/><Relationship Id="rId15" Type="http://schemas.openxmlformats.org/officeDocument/2006/relationships/hyperlink" Target="01O20260109_&#304;lk%20Kay&#305;t_08.12.2025_M&#252;&#351;teri-3.pdf" TargetMode="External"/><Relationship Id="rId23" Type="http://schemas.openxmlformats.org/officeDocument/2006/relationships/hyperlink" Target="01O20260120_&#304;lk%20Kay&#305;t_08.01.2026_M&#252;&#351;teri-10.pdf" TargetMode="External"/><Relationship Id="rId28" Type="http://schemas.openxmlformats.org/officeDocument/2006/relationships/hyperlink" Target="01O20260125_&#304;lk%20Kay&#305;t_08.01.2026_M&#252;&#351;teri-6.pdf" TargetMode="External"/><Relationship Id="rId36" Type="http://schemas.openxmlformats.org/officeDocument/2006/relationships/hyperlink" Target="01O20260125_R1_08.01.2026_M&#252;&#351;teri-11.pdf" TargetMode="External"/><Relationship Id="rId49" Type="http://schemas.openxmlformats.org/officeDocument/2006/relationships/hyperlink" Target="01O20260300_&#304;lk%20Kay&#305;t_08.01.2026_M&#252;&#351;teri-14.pdf" TargetMode="External"/><Relationship Id="rId57" Type="http://schemas.openxmlformats.org/officeDocument/2006/relationships/hyperlink" Target="01O20260312_&#304;lk%20Kay&#305;t_05.01.2026_M&#252;&#351;teri-9.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C21B4-9AC3-4787-BCE2-292BDD7FC8A5}">
  <sheetPr codeName="Sayfa1"/>
  <dimension ref="B1:AA97"/>
  <sheetViews>
    <sheetView showGridLines="0" tabSelected="1" workbookViewId="0">
      <selection activeCell="G28" sqref="G28"/>
    </sheetView>
  </sheetViews>
  <sheetFormatPr defaultRowHeight="15" x14ac:dyDescent="0.25"/>
  <cols>
    <col min="1" max="1" width="2.7109375" style="45" customWidth="1"/>
    <col min="2" max="2" width="16.7109375" style="45" customWidth="1"/>
    <col min="3" max="10" width="16" style="45" customWidth="1"/>
    <col min="11" max="14" width="16.7109375" style="45" customWidth="1"/>
    <col min="15" max="25" width="9.140625" style="45"/>
    <col min="26" max="27" width="0" style="45" hidden="1" customWidth="1"/>
    <col min="28" max="16384" width="9.140625" style="45"/>
  </cols>
  <sheetData>
    <row r="1" spans="2:27" x14ac:dyDescent="0.25">
      <c r="Z1" s="45" t="s">
        <v>88</v>
      </c>
      <c r="AA1" s="45" t="s">
        <v>88</v>
      </c>
    </row>
    <row r="2" spans="2:27" x14ac:dyDescent="0.25">
      <c r="B2" s="82" t="s">
        <v>145</v>
      </c>
      <c r="C2" s="82"/>
      <c r="D2" s="82"/>
      <c r="E2" s="82"/>
      <c r="F2" s="82"/>
      <c r="G2" s="82"/>
      <c r="I2" s="46" t="s">
        <v>86</v>
      </c>
      <c r="J2" s="47" t="s">
        <v>88</v>
      </c>
      <c r="K2" s="46" t="s">
        <v>87</v>
      </c>
      <c r="L2" s="47" t="s">
        <v>88</v>
      </c>
      <c r="Z2" s="48">
        <v>2026</v>
      </c>
      <c r="AA2" s="48" t="s">
        <v>64</v>
      </c>
    </row>
    <row r="3" spans="2:27" x14ac:dyDescent="0.25">
      <c r="B3" s="82"/>
      <c r="C3" s="82"/>
      <c r="D3" s="82"/>
      <c r="E3" s="82"/>
      <c r="F3" s="82"/>
      <c r="G3" s="82"/>
      <c r="Z3" s="49">
        <v>2025</v>
      </c>
      <c r="AA3" s="49" t="s">
        <v>100</v>
      </c>
    </row>
    <row r="5" spans="2:27" x14ac:dyDescent="0.25">
      <c r="B5" s="55" t="s">
        <v>89</v>
      </c>
      <c r="D5" s="57" t="s">
        <v>91</v>
      </c>
      <c r="F5" s="59" t="s">
        <v>92</v>
      </c>
      <c r="H5" s="61" t="s">
        <v>97</v>
      </c>
      <c r="J5" s="63" t="s">
        <v>98</v>
      </c>
      <c r="L5" s="65" t="s">
        <v>99</v>
      </c>
      <c r="N5" s="67" t="s">
        <v>90</v>
      </c>
    </row>
    <row r="6" spans="2:27" ht="30.75" x14ac:dyDescent="0.25">
      <c r="B6" s="56" cm="1">
        <f t="array" ref="B6">SUMPRODUCT(('Genel Müşteri Teklif Özeti'!$E$2:$E$20&lt;&gt;"")*(('Genel Müşteri Teklif Özeti'!$C$2:$C$20=$J$2)+($J$2="Tümü"))*(('Genel Müşteri Teklif Özeti'!$B$2:$B$20=$L$2)+($L$2="Tümü")))</f>
        <v>19</v>
      </c>
      <c r="D6" s="58" cm="1">
        <f t="array" ref="D6">SUMPRODUCT(('Genel Müşteri Teklif Özeti'!$M$2:$M$20="Fatura Kesildi")*(('Genel Müşteri Teklif Özeti'!$C$2:$C$20=$J$2)+($J$2="Tümü"))*(('Genel Müşteri Teklif Özeti'!$B$2:$B$20=$L$2)+($L$2="Tümü")))</f>
        <v>2</v>
      </c>
      <c r="F6" s="60" cm="1">
        <f t="array" ref="F6">SUMPRODUCT(('Genel Müşteri Teklif Özeti'!$M$2:$M$20="Beklemede")*(('Genel Müşteri Teklif Özeti'!$C$2:$C$20=$J$2)+($J$2="Tümü"))*(('Genel Müşteri Teklif Özeti'!$B$2:$B$20=$L$2)+($L$2="Tümü")))</f>
        <v>5</v>
      </c>
      <c r="H6" s="62" cm="1">
        <f t="array" ref="H6">SUMPRODUCT(('Genel Müşteri Teklif Özeti'!$M$2:$M$20="İptal Edildi")*(('Genel Müşteri Teklif Özeti'!$C$2:$C$20=$J$2)+($J$2="Tümü"))*(('Genel Müşteri Teklif Özeti'!$B$2:$B$20=$L$2)+($L$2="Tümü")))</f>
        <v>2</v>
      </c>
      <c r="J6" s="64" cm="1">
        <f t="array" ref="J6">SUMPRODUCT(('Genel Müşteri Teklif Özeti'!$M$2:$M$20="Askıya Alındı")*(('Genel Müşteri Teklif Özeti'!$C$2:$C$20=$J$2)+($J$2="Tümü"))*(('Genel Müşteri Teklif Özeti'!$B$2:$B$20=$L$2)+($L$2="Tümü")))</f>
        <v>4</v>
      </c>
      <c r="L6" s="66" cm="1">
        <f t="array" ref="L6">SUMPRODUCT(('Genel Müşteri Teklif Özeti'!$M$2:$M$20="Onay Bekliyor")*(('Genel Müşteri Teklif Özeti'!$C$2:$C$20=$J$2)+($J$2="Tümü"))*(('Genel Müşteri Teklif Özeti'!$B$2:$B$20=$L$2)+($L$2="Tümü")))</f>
        <v>3</v>
      </c>
      <c r="N6" s="68" cm="1">
        <f t="array" ref="N6">SUMPRODUCT(('Genel Müşteri Teklif Özeti'!$M$2:$M$20="Onaylandı")*(('Genel Müşteri Teklif Özeti'!$C$2:$C$20=$J$2)+($J$2="Tümü"))*(('Genel Müşteri Teklif Özeti'!$B$2:$B$20=$L$2)+($L$2="Tümü")))</f>
        <v>2</v>
      </c>
    </row>
    <row r="8" spans="2:27" ht="18.75" x14ac:dyDescent="0.3">
      <c r="B8" s="50" t="s">
        <v>93</v>
      </c>
    </row>
    <row r="10" spans="2:27" x14ac:dyDescent="0.25">
      <c r="B10" s="70" t="s">
        <v>94</v>
      </c>
      <c r="C10" s="71" t="s">
        <v>51</v>
      </c>
      <c r="D10" s="71" t="s">
        <v>50</v>
      </c>
      <c r="E10" s="71" t="s">
        <v>52</v>
      </c>
      <c r="F10" s="71" t="s">
        <v>53</v>
      </c>
      <c r="G10" s="71" t="s">
        <v>62</v>
      </c>
      <c r="H10" s="71" t="s">
        <v>68</v>
      </c>
      <c r="I10" s="71" t="s">
        <v>65</v>
      </c>
      <c r="J10" s="51" t="s">
        <v>95</v>
      </c>
    </row>
    <row r="11" spans="2:27" x14ac:dyDescent="0.25">
      <c r="B11" s="72" t="s">
        <v>46</v>
      </c>
      <c r="C11" s="52" cm="1">
        <f t="array" ref="C11">SUMPRODUCT(('Genel Müşteri Teklif Özeti'!$L$2:$L$20=$B$11)*($B$11&lt;&gt;"")*('Genel Müşteri Teklif Özeti'!$M$2:$M$20=$C$10)*($C$10&lt;&gt;"")*(('Genel Müşteri Teklif Özeti'!$C$2:$C$20=$J$2)+($J$2="Tümü"))*(('Genel Müşteri Teklif Özeti'!$B$2:$B$20=$L$2)+($L$2="Tümü")))</f>
        <v>1</v>
      </c>
      <c r="D11" s="52" cm="1">
        <f t="array" ref="D11">SUMPRODUCT(('Genel Müşteri Teklif Özeti'!$L$2:$L$20=$B$11)*($B$11&lt;&gt;"")*('Genel Müşteri Teklif Özeti'!$M$2:$M$20=$D$10)*($D$10&lt;&gt;"")*(('Genel Müşteri Teklif Özeti'!$C$2:$C$20=$J$2)+($J$2="Tümü"))*(('Genel Müşteri Teklif Özeti'!$B$2:$B$20=$L$2)+($L$2="Tümü")))</f>
        <v>1</v>
      </c>
      <c r="E11" s="52" cm="1">
        <f t="array" ref="E11">SUMPRODUCT(('Genel Müşteri Teklif Özeti'!$L$2:$L$20=$B$11)*($B$11&lt;&gt;"")*('Genel Müşteri Teklif Özeti'!$M$2:$M$20=$E$10)*($E$10&lt;&gt;"")*(('Genel Müşteri Teklif Özeti'!$C$2:$C$20=$J$2)+($J$2="Tümü"))*(('Genel Müşteri Teklif Özeti'!$B$2:$B$20=$L$2)+($L$2="Tümü")))</f>
        <v>0</v>
      </c>
      <c r="F11" s="52" cm="1">
        <f t="array" ref="F11">SUMPRODUCT(('Genel Müşteri Teklif Özeti'!$L$2:$L$20=$B$11)*($B$11&lt;&gt;"")*('Genel Müşteri Teklif Özeti'!$M$2:$M$20=$F$10)*($F$10&lt;&gt;"")*(('Genel Müşteri Teklif Özeti'!$C$2:$C$20=$J$2)+($J$2="Tümü"))*(('Genel Müşteri Teklif Özeti'!$B$2:$B$20=$L$2)+($L$2="Tümü")))</f>
        <v>0</v>
      </c>
      <c r="G11" s="52" cm="1">
        <f t="array" ref="G11">SUMPRODUCT(('Genel Müşteri Teklif Özeti'!$L$2:$L$20=$B$11)*($B$11&lt;&gt;"")*('Genel Müşteri Teklif Özeti'!$M$2:$M$20=$G$10)*($G$10&lt;&gt;"")*(('Genel Müşteri Teklif Özeti'!$C$2:$C$20=$J$2)+($J$2="Tümü"))*(('Genel Müşteri Teklif Özeti'!$B$2:$B$20=$L$2)+($L$2="Tümü")))</f>
        <v>1</v>
      </c>
      <c r="H11" s="52" cm="1">
        <f t="array" ref="H11">SUMPRODUCT(('Genel Müşteri Teklif Özeti'!$L$2:$L$20=$B$11)*($B$11&lt;&gt;"")*('Genel Müşteri Teklif Özeti'!$M$2:$M$20=$H$10)*($H$10&lt;&gt;"")*(('Genel Müşteri Teklif Özeti'!$C$2:$C$20=$J$2)+($J$2="Tümü"))*(('Genel Müşteri Teklif Özeti'!$B$2:$B$20=$L$2)+($L$2="Tümü")))</f>
        <v>1</v>
      </c>
      <c r="I11" s="52" cm="1">
        <f t="array" ref="I11">SUMPRODUCT(('Genel Müşteri Teklif Özeti'!$L$2:$L$20=$B$11)*($B$11&lt;&gt;"")*('Genel Müşteri Teklif Özeti'!$M$2:$M$20=$I$10)*($I$10&lt;&gt;"")*(('Genel Müşteri Teklif Özeti'!$C$2:$C$20=$J$2)+($J$2="Tümü"))*(('Genel Müşteri Teklif Özeti'!$B$2:$B$20=$L$2)+($L$2="Tümü")))</f>
        <v>4</v>
      </c>
      <c r="J11" s="53">
        <f>SUM($C$11:$I$11)</f>
        <v>8</v>
      </c>
    </row>
    <row r="12" spans="2:27" x14ac:dyDescent="0.25">
      <c r="B12" s="72" t="s">
        <v>47</v>
      </c>
      <c r="C12" s="52" cm="1">
        <f t="array" ref="C12">SUMPRODUCT(('Genel Müşteri Teklif Özeti'!$L$2:$L$20=$B$12)*($B$12&lt;&gt;"")*('Genel Müşteri Teklif Özeti'!$M$2:$M$20=$C$10)*($C$10&lt;&gt;"")*(('Genel Müşteri Teklif Özeti'!$C$2:$C$20=$J$2)+($J$2="Tümü"))*(('Genel Müşteri Teklif Özeti'!$B$2:$B$20=$L$2)+($L$2="Tümü")))</f>
        <v>1</v>
      </c>
      <c r="D12" s="52" cm="1">
        <f t="array" ref="D12">SUMPRODUCT(('Genel Müşteri Teklif Özeti'!$L$2:$L$20=$B$12)*($B$12&lt;&gt;"")*('Genel Müşteri Teklif Özeti'!$M$2:$M$20=$D$10)*($D$10&lt;&gt;"")*(('Genel Müşteri Teklif Özeti'!$C$2:$C$20=$J$2)+($J$2="Tümü"))*(('Genel Müşteri Teklif Özeti'!$B$2:$B$20=$L$2)+($L$2="Tümü")))</f>
        <v>0</v>
      </c>
      <c r="E12" s="52" cm="1">
        <f t="array" ref="E12">SUMPRODUCT(('Genel Müşteri Teklif Özeti'!$L$2:$L$20=$B$12)*($B$12&lt;&gt;"")*('Genel Müşteri Teklif Özeti'!$M$2:$M$20=$E$10)*($E$10&lt;&gt;"")*(('Genel Müşteri Teklif Özeti'!$C$2:$C$20=$J$2)+($J$2="Tümü"))*(('Genel Müşteri Teklif Özeti'!$B$2:$B$20=$L$2)+($L$2="Tümü")))</f>
        <v>2</v>
      </c>
      <c r="F12" s="52" cm="1">
        <f t="array" ref="F12">SUMPRODUCT(('Genel Müşteri Teklif Özeti'!$L$2:$L$20=$B$12)*($B$12&lt;&gt;"")*('Genel Müşteri Teklif Özeti'!$M$2:$M$20=$F$10)*($F$10&lt;&gt;"")*(('Genel Müşteri Teklif Özeti'!$C$2:$C$20=$J$2)+($J$2="Tümü"))*(('Genel Müşteri Teklif Özeti'!$B$2:$B$20=$L$2)+($L$2="Tümü")))</f>
        <v>0</v>
      </c>
      <c r="G12" s="52" cm="1">
        <f t="array" ref="G12">SUMPRODUCT(('Genel Müşteri Teklif Özeti'!$L$2:$L$20=$B$12)*($B$12&lt;&gt;"")*('Genel Müşteri Teklif Özeti'!$M$2:$M$20=$G$10)*($G$10&lt;&gt;"")*(('Genel Müşteri Teklif Özeti'!$C$2:$C$20=$J$2)+($J$2="Tümü"))*(('Genel Müşteri Teklif Özeti'!$B$2:$B$20=$L$2)+($L$2="Tümü")))</f>
        <v>1</v>
      </c>
      <c r="H12" s="52" cm="1">
        <f t="array" ref="H12">SUMPRODUCT(('Genel Müşteri Teklif Özeti'!$L$2:$L$20=$B$12)*($B$12&lt;&gt;"")*('Genel Müşteri Teklif Özeti'!$M$2:$M$20=$H$10)*($H$10&lt;&gt;"")*(('Genel Müşteri Teklif Özeti'!$C$2:$C$20=$J$2)+($J$2="Tümü"))*(('Genel Müşteri Teklif Özeti'!$B$2:$B$20=$L$2)+($L$2="Tümü")))</f>
        <v>0</v>
      </c>
      <c r="I12" s="52" cm="1">
        <f t="array" ref="I12">SUMPRODUCT(('Genel Müşteri Teklif Özeti'!$L$2:$L$20=$B$12)*($B$12&lt;&gt;"")*('Genel Müşteri Teklif Özeti'!$M$2:$M$20=$I$10)*($I$10&lt;&gt;"")*(('Genel Müşteri Teklif Özeti'!$C$2:$C$20=$J$2)+($J$2="Tümü"))*(('Genel Müşteri Teklif Özeti'!$B$2:$B$20=$L$2)+($L$2="Tümü")))</f>
        <v>0</v>
      </c>
      <c r="J12" s="53">
        <f>SUM($C$12:$I$12)</f>
        <v>4</v>
      </c>
    </row>
    <row r="13" spans="2:27" x14ac:dyDescent="0.25">
      <c r="B13" s="72" t="s">
        <v>48</v>
      </c>
      <c r="C13" s="52" cm="1">
        <f t="array" ref="C13">SUMPRODUCT(('Genel Müşteri Teklif Özeti'!$L$2:$L$20=$B$13)*($B$13&lt;&gt;"")*('Genel Müşteri Teklif Özeti'!$M$2:$M$20=$C$10)*($C$10&lt;&gt;"")*(('Genel Müşteri Teklif Özeti'!$C$2:$C$20=$J$2)+($J$2="Tümü"))*(('Genel Müşteri Teklif Özeti'!$B$2:$B$20=$L$2)+($L$2="Tümü")))</f>
        <v>1</v>
      </c>
      <c r="D13" s="52" cm="1">
        <f t="array" ref="D13">SUMPRODUCT(('Genel Müşteri Teklif Özeti'!$L$2:$L$20=$B$13)*($B$13&lt;&gt;"")*('Genel Müşteri Teklif Özeti'!$M$2:$M$20=$D$10)*($D$10&lt;&gt;"")*(('Genel Müşteri Teklif Özeti'!$C$2:$C$20=$J$2)+($J$2="Tümü"))*(('Genel Müşteri Teklif Özeti'!$B$2:$B$20=$L$2)+($L$2="Tümü")))</f>
        <v>1</v>
      </c>
      <c r="E13" s="52" cm="1">
        <f t="array" ref="E13">SUMPRODUCT(('Genel Müşteri Teklif Özeti'!$L$2:$L$20=$B$13)*($B$13&lt;&gt;"")*('Genel Müşteri Teklif Özeti'!$M$2:$M$20=$E$10)*($E$10&lt;&gt;"")*(('Genel Müşteri Teklif Özeti'!$C$2:$C$20=$J$2)+($J$2="Tümü"))*(('Genel Müşteri Teklif Özeti'!$B$2:$B$20=$L$2)+($L$2="Tümü")))</f>
        <v>1</v>
      </c>
      <c r="F13" s="52" cm="1">
        <f t="array" ref="F13">SUMPRODUCT(('Genel Müşteri Teklif Özeti'!$L$2:$L$20=$B$13)*($B$13&lt;&gt;"")*('Genel Müşteri Teklif Özeti'!$M$2:$M$20=$F$10)*($F$10&lt;&gt;"")*(('Genel Müşteri Teklif Özeti'!$C$2:$C$20=$J$2)+($J$2="Tümü"))*(('Genel Müşteri Teklif Özeti'!$B$2:$B$20=$L$2)+($L$2="Tümü")))</f>
        <v>1</v>
      </c>
      <c r="G13" s="52" cm="1">
        <f t="array" ref="G13">SUMPRODUCT(('Genel Müşteri Teklif Özeti'!$L$2:$L$20=$B$13)*($B$13&lt;&gt;"")*('Genel Müşteri Teklif Özeti'!$M$2:$M$20=$G$10)*($G$10&lt;&gt;"")*(('Genel Müşteri Teklif Özeti'!$C$2:$C$20=$J$2)+($J$2="Tümü"))*(('Genel Müşteri Teklif Özeti'!$B$2:$B$20=$L$2)+($L$2="Tümü")))</f>
        <v>0</v>
      </c>
      <c r="H13" s="52" cm="1">
        <f t="array" ref="H13">SUMPRODUCT(('Genel Müşteri Teklif Özeti'!$L$2:$L$20=$B$13)*($B$13&lt;&gt;"")*('Genel Müşteri Teklif Özeti'!$M$2:$M$20=$H$10)*($H$10&lt;&gt;"")*(('Genel Müşteri Teklif Özeti'!$C$2:$C$20=$J$2)+($J$2="Tümü"))*(('Genel Müşteri Teklif Özeti'!$B$2:$B$20=$L$2)+($L$2="Tümü")))</f>
        <v>0</v>
      </c>
      <c r="I13" s="52" cm="1">
        <f t="array" ref="I13">SUMPRODUCT(('Genel Müşteri Teklif Özeti'!$L$2:$L$20=$B$13)*($B$13&lt;&gt;"")*('Genel Müşteri Teklif Özeti'!$M$2:$M$20=$I$10)*($I$10&lt;&gt;"")*(('Genel Müşteri Teklif Özeti'!$C$2:$C$20=$J$2)+($J$2="Tümü"))*(('Genel Müşteri Teklif Özeti'!$B$2:$B$20=$L$2)+($L$2="Tümü")))</f>
        <v>0</v>
      </c>
      <c r="J13" s="53">
        <f>SUM($C$13:$I$13)</f>
        <v>4</v>
      </c>
    </row>
    <row r="14" spans="2:27" x14ac:dyDescent="0.25">
      <c r="B14" s="72" t="s">
        <v>49</v>
      </c>
      <c r="C14" s="52" cm="1">
        <f t="array" ref="C14">SUMPRODUCT(('Genel Müşteri Teklif Özeti'!$L$2:$L$20=$B$14)*($B$14&lt;&gt;"")*('Genel Müşteri Teklif Özeti'!$M$2:$M$20=$C$10)*($C$10&lt;&gt;"")*(('Genel Müşteri Teklif Özeti'!$C$2:$C$20=$J$2)+($J$2="Tümü"))*(('Genel Müşteri Teklif Özeti'!$B$2:$B$20=$L$2)+($L$2="Tümü")))</f>
        <v>0</v>
      </c>
      <c r="D14" s="52" cm="1">
        <f t="array" ref="D14">SUMPRODUCT(('Genel Müşteri Teklif Özeti'!$L$2:$L$20=$B$14)*($B$14&lt;&gt;"")*('Genel Müşteri Teklif Özeti'!$M$2:$M$20=$D$10)*($D$10&lt;&gt;"")*(('Genel Müşteri Teklif Özeti'!$C$2:$C$20=$J$2)+($J$2="Tümü"))*(('Genel Müşteri Teklif Özeti'!$B$2:$B$20=$L$2)+($L$2="Tümü")))</f>
        <v>0</v>
      </c>
      <c r="E14" s="52" cm="1">
        <f t="array" ref="E14">SUMPRODUCT(('Genel Müşteri Teklif Özeti'!$L$2:$L$20=$B$14)*($B$14&lt;&gt;"")*('Genel Müşteri Teklif Özeti'!$M$2:$M$20=$E$10)*($E$10&lt;&gt;"")*(('Genel Müşteri Teklif Özeti'!$C$2:$C$20=$J$2)+($J$2="Tümü"))*(('Genel Müşteri Teklif Özeti'!$B$2:$B$20=$L$2)+($L$2="Tümü")))</f>
        <v>1</v>
      </c>
      <c r="F14" s="52" cm="1">
        <f t="array" ref="F14">SUMPRODUCT(('Genel Müşteri Teklif Özeti'!$L$2:$L$20=$B$14)*($B$14&lt;&gt;"")*('Genel Müşteri Teklif Özeti'!$M$2:$M$20=$F$10)*($F$10&lt;&gt;"")*(('Genel Müşteri Teklif Özeti'!$C$2:$C$20=$J$2)+($J$2="Tümü"))*(('Genel Müşteri Teklif Özeti'!$B$2:$B$20=$L$2)+($L$2="Tümü")))</f>
        <v>1</v>
      </c>
      <c r="G14" s="52" cm="1">
        <f t="array" ref="G14">SUMPRODUCT(('Genel Müşteri Teklif Özeti'!$L$2:$L$20=$B$14)*($B$14&lt;&gt;"")*('Genel Müşteri Teklif Özeti'!$M$2:$M$20=$G$10)*($G$10&lt;&gt;"")*(('Genel Müşteri Teklif Özeti'!$C$2:$C$20=$J$2)+($J$2="Tümü"))*(('Genel Müşteri Teklif Özeti'!$B$2:$B$20=$L$2)+($L$2="Tümü")))</f>
        <v>0</v>
      </c>
      <c r="H14" s="52" cm="1">
        <f t="array" ref="H14">SUMPRODUCT(('Genel Müşteri Teklif Özeti'!$L$2:$L$20=$B$14)*($B$14&lt;&gt;"")*('Genel Müşteri Teklif Özeti'!$M$2:$M$20=$H$10)*($H$10&lt;&gt;"")*(('Genel Müşteri Teklif Özeti'!$C$2:$C$20=$J$2)+($J$2="Tümü"))*(('Genel Müşteri Teklif Özeti'!$B$2:$B$20=$L$2)+($L$2="Tümü")))</f>
        <v>0</v>
      </c>
      <c r="I14" s="52" cm="1">
        <f t="array" ref="I14">SUMPRODUCT(('Genel Müşteri Teklif Özeti'!$L$2:$L$20=$B$14)*($B$14&lt;&gt;"")*('Genel Müşteri Teklif Özeti'!$M$2:$M$20=$I$10)*($I$10&lt;&gt;"")*(('Genel Müşteri Teklif Özeti'!$C$2:$C$20=$J$2)+($J$2="Tümü"))*(('Genel Müşteri Teklif Özeti'!$B$2:$B$20=$L$2)+($L$2="Tümü")))</f>
        <v>1</v>
      </c>
      <c r="J14" s="53">
        <f>SUM($C$14:$I$14)</f>
        <v>3</v>
      </c>
    </row>
    <row r="15" spans="2:27" x14ac:dyDescent="0.25">
      <c r="B15" s="73"/>
      <c r="C15" s="52" cm="1">
        <f t="array" ref="C15">SUMPRODUCT(('Genel Müşteri Teklif Özeti'!$L$2:$L$20=$B$15)*($B$15&lt;&gt;"")*('Genel Müşteri Teklif Özeti'!$M$2:$M$20=$C$10)*($C$10&lt;&gt;"")*(('Genel Müşteri Teklif Özeti'!$C$2:$C$20=$J$2)+($J$2="Tümü"))*(('Genel Müşteri Teklif Özeti'!$B$2:$B$20=$L$2)+($L$2="Tümü")))</f>
        <v>0</v>
      </c>
      <c r="D15" s="52" cm="1">
        <f t="array" ref="D15">SUMPRODUCT(('Genel Müşteri Teklif Özeti'!$L$2:$L$20=$B$15)*($B$15&lt;&gt;"")*('Genel Müşteri Teklif Özeti'!$M$2:$M$20=$D$10)*($D$10&lt;&gt;"")*(('Genel Müşteri Teklif Özeti'!$C$2:$C$20=$J$2)+($J$2="Tümü"))*(('Genel Müşteri Teklif Özeti'!$B$2:$B$20=$L$2)+($L$2="Tümü")))</f>
        <v>0</v>
      </c>
      <c r="E15" s="52" cm="1">
        <f t="array" ref="E15">SUMPRODUCT(('Genel Müşteri Teklif Özeti'!$L$2:$L$20=$B$15)*($B$15&lt;&gt;"")*('Genel Müşteri Teklif Özeti'!$M$2:$M$20=$E$10)*($E$10&lt;&gt;"")*(('Genel Müşteri Teklif Özeti'!$C$2:$C$20=$J$2)+($J$2="Tümü"))*(('Genel Müşteri Teklif Özeti'!$B$2:$B$20=$L$2)+($L$2="Tümü")))</f>
        <v>0</v>
      </c>
      <c r="F15" s="52" cm="1">
        <f t="array" ref="F15">SUMPRODUCT(('Genel Müşteri Teklif Özeti'!$L$2:$L$20=$B$15)*($B$15&lt;&gt;"")*('Genel Müşteri Teklif Özeti'!$M$2:$M$20=$F$10)*($F$10&lt;&gt;"")*(('Genel Müşteri Teklif Özeti'!$C$2:$C$20=$J$2)+($J$2="Tümü"))*(('Genel Müşteri Teklif Özeti'!$B$2:$B$20=$L$2)+($L$2="Tümü")))</f>
        <v>0</v>
      </c>
      <c r="G15" s="52" cm="1">
        <f t="array" ref="G15">SUMPRODUCT(('Genel Müşteri Teklif Özeti'!$L$2:$L$20=$B$15)*($B$15&lt;&gt;"")*('Genel Müşteri Teklif Özeti'!$M$2:$M$20=$G$10)*($G$10&lt;&gt;"")*(('Genel Müşteri Teklif Özeti'!$C$2:$C$20=$J$2)+($J$2="Tümü"))*(('Genel Müşteri Teklif Özeti'!$B$2:$B$20=$L$2)+($L$2="Tümü")))</f>
        <v>0</v>
      </c>
      <c r="H15" s="52" cm="1">
        <f t="array" ref="H15">SUMPRODUCT(('Genel Müşteri Teklif Özeti'!$L$2:$L$20=$B$15)*($B$15&lt;&gt;"")*('Genel Müşteri Teklif Özeti'!$M$2:$M$20=$H$10)*($H$10&lt;&gt;"")*(('Genel Müşteri Teklif Özeti'!$C$2:$C$20=$J$2)+($J$2="Tümü"))*(('Genel Müşteri Teklif Özeti'!$B$2:$B$20=$L$2)+($L$2="Tümü")))</f>
        <v>0</v>
      </c>
      <c r="I15" s="52" cm="1">
        <f t="array" ref="I15">SUMPRODUCT(('Genel Müşteri Teklif Özeti'!$L$2:$L$20=$B$15)*($B$15&lt;&gt;"")*('Genel Müşteri Teklif Özeti'!$M$2:$M$20=$I$10)*($I$10&lt;&gt;"")*(('Genel Müşteri Teklif Özeti'!$C$2:$C$20=$J$2)+($J$2="Tümü"))*(('Genel Müşteri Teklif Özeti'!$B$2:$B$20=$L$2)+($L$2="Tümü")))</f>
        <v>0</v>
      </c>
      <c r="J15" s="53">
        <f>SUM($C$15:$I$15)</f>
        <v>0</v>
      </c>
    </row>
    <row r="16" spans="2:27" x14ac:dyDescent="0.25">
      <c r="B16" s="73"/>
      <c r="C16" s="52" cm="1">
        <f t="array" ref="C16">SUMPRODUCT(('Genel Müşteri Teklif Özeti'!$L$2:$L$20=$B$16)*($B$16&lt;&gt;"")*('Genel Müşteri Teklif Özeti'!$M$2:$M$20=$C$10)*($C$10&lt;&gt;"")*(('Genel Müşteri Teklif Özeti'!$C$2:$C$20=$J$2)+($J$2="Tümü"))*(('Genel Müşteri Teklif Özeti'!$B$2:$B$20=$L$2)+($L$2="Tümü")))</f>
        <v>0</v>
      </c>
      <c r="D16" s="52" cm="1">
        <f t="array" ref="D16">SUMPRODUCT(('Genel Müşteri Teklif Özeti'!$L$2:$L$20=$B$16)*($B$16&lt;&gt;"")*('Genel Müşteri Teklif Özeti'!$M$2:$M$20=$D$10)*($D$10&lt;&gt;"")*(('Genel Müşteri Teklif Özeti'!$C$2:$C$20=$J$2)+($J$2="Tümü"))*(('Genel Müşteri Teklif Özeti'!$B$2:$B$20=$L$2)+($L$2="Tümü")))</f>
        <v>0</v>
      </c>
      <c r="E16" s="52" cm="1">
        <f t="array" ref="E16">SUMPRODUCT(('Genel Müşteri Teklif Özeti'!$L$2:$L$20=$B$16)*($B$16&lt;&gt;"")*('Genel Müşteri Teklif Özeti'!$M$2:$M$20=$E$10)*($E$10&lt;&gt;"")*(('Genel Müşteri Teklif Özeti'!$C$2:$C$20=$J$2)+($J$2="Tümü"))*(('Genel Müşteri Teklif Özeti'!$B$2:$B$20=$L$2)+($L$2="Tümü")))</f>
        <v>0</v>
      </c>
      <c r="F16" s="52" cm="1">
        <f t="array" ref="F16">SUMPRODUCT(('Genel Müşteri Teklif Özeti'!$L$2:$L$20=$B$16)*($B$16&lt;&gt;"")*('Genel Müşteri Teklif Özeti'!$M$2:$M$20=$F$10)*($F$10&lt;&gt;"")*(('Genel Müşteri Teklif Özeti'!$C$2:$C$20=$J$2)+($J$2="Tümü"))*(('Genel Müşteri Teklif Özeti'!$B$2:$B$20=$L$2)+($L$2="Tümü")))</f>
        <v>0</v>
      </c>
      <c r="G16" s="52" cm="1">
        <f t="array" ref="G16">SUMPRODUCT(('Genel Müşteri Teklif Özeti'!$L$2:$L$20=$B$16)*($B$16&lt;&gt;"")*('Genel Müşteri Teklif Özeti'!$M$2:$M$20=$G$10)*($G$10&lt;&gt;"")*(('Genel Müşteri Teklif Özeti'!$C$2:$C$20=$J$2)+($J$2="Tümü"))*(('Genel Müşteri Teklif Özeti'!$B$2:$B$20=$L$2)+($L$2="Tümü")))</f>
        <v>0</v>
      </c>
      <c r="H16" s="52" cm="1">
        <f t="array" ref="H16">SUMPRODUCT(('Genel Müşteri Teklif Özeti'!$L$2:$L$20=$B$16)*($B$16&lt;&gt;"")*('Genel Müşteri Teklif Özeti'!$M$2:$M$20=$H$10)*($H$10&lt;&gt;"")*(('Genel Müşteri Teklif Özeti'!$C$2:$C$20=$J$2)+($J$2="Tümü"))*(('Genel Müşteri Teklif Özeti'!$B$2:$B$20=$L$2)+($L$2="Tümü")))</f>
        <v>0</v>
      </c>
      <c r="I16" s="52" cm="1">
        <f t="array" ref="I16">SUMPRODUCT(('Genel Müşteri Teklif Özeti'!$L$2:$L$20=$B$16)*($B$16&lt;&gt;"")*('Genel Müşteri Teklif Özeti'!$M$2:$M$20=$I$10)*($I$10&lt;&gt;"")*(('Genel Müşteri Teklif Özeti'!$C$2:$C$20=$J$2)+($J$2="Tümü"))*(('Genel Müşteri Teklif Özeti'!$B$2:$B$20=$L$2)+($L$2="Tümü")))</f>
        <v>0</v>
      </c>
      <c r="J16" s="53">
        <f>SUM($C$16:$I$16)</f>
        <v>0</v>
      </c>
    </row>
    <row r="17" spans="2:10" x14ac:dyDescent="0.25">
      <c r="B17" s="73"/>
      <c r="C17" s="52" cm="1">
        <f t="array" ref="C17">SUMPRODUCT(('Genel Müşteri Teklif Özeti'!$L$2:$L$20=$B$17)*($B$17&lt;&gt;"")*('Genel Müşteri Teklif Özeti'!$M$2:$M$20=$C$10)*($C$10&lt;&gt;"")*(('Genel Müşteri Teklif Özeti'!$C$2:$C$20=$J$2)+($J$2="Tümü"))*(('Genel Müşteri Teklif Özeti'!$B$2:$B$20=$L$2)+($L$2="Tümü")))</f>
        <v>0</v>
      </c>
      <c r="D17" s="52" cm="1">
        <f t="array" ref="D17">SUMPRODUCT(('Genel Müşteri Teklif Özeti'!$L$2:$L$20=$B$17)*($B$17&lt;&gt;"")*('Genel Müşteri Teklif Özeti'!$M$2:$M$20=$D$10)*($D$10&lt;&gt;"")*(('Genel Müşteri Teklif Özeti'!$C$2:$C$20=$J$2)+($J$2="Tümü"))*(('Genel Müşteri Teklif Özeti'!$B$2:$B$20=$L$2)+($L$2="Tümü")))</f>
        <v>0</v>
      </c>
      <c r="E17" s="52" cm="1">
        <f t="array" ref="E17">SUMPRODUCT(('Genel Müşteri Teklif Özeti'!$L$2:$L$20=$B$17)*($B$17&lt;&gt;"")*('Genel Müşteri Teklif Özeti'!$M$2:$M$20=$E$10)*($E$10&lt;&gt;"")*(('Genel Müşteri Teklif Özeti'!$C$2:$C$20=$J$2)+($J$2="Tümü"))*(('Genel Müşteri Teklif Özeti'!$B$2:$B$20=$L$2)+($L$2="Tümü")))</f>
        <v>0</v>
      </c>
      <c r="F17" s="52" cm="1">
        <f t="array" ref="F17">SUMPRODUCT(('Genel Müşteri Teklif Özeti'!$L$2:$L$20=$B$17)*($B$17&lt;&gt;"")*('Genel Müşteri Teklif Özeti'!$M$2:$M$20=$F$10)*($F$10&lt;&gt;"")*(('Genel Müşteri Teklif Özeti'!$C$2:$C$20=$J$2)+($J$2="Tümü"))*(('Genel Müşteri Teklif Özeti'!$B$2:$B$20=$L$2)+($L$2="Tümü")))</f>
        <v>0</v>
      </c>
      <c r="G17" s="52" cm="1">
        <f t="array" ref="G17">SUMPRODUCT(('Genel Müşteri Teklif Özeti'!$L$2:$L$20=$B$17)*($B$17&lt;&gt;"")*('Genel Müşteri Teklif Özeti'!$M$2:$M$20=$G$10)*($G$10&lt;&gt;"")*(('Genel Müşteri Teklif Özeti'!$C$2:$C$20=$J$2)+($J$2="Tümü"))*(('Genel Müşteri Teklif Özeti'!$B$2:$B$20=$L$2)+($L$2="Tümü")))</f>
        <v>0</v>
      </c>
      <c r="H17" s="52" cm="1">
        <f t="array" ref="H17">SUMPRODUCT(('Genel Müşteri Teklif Özeti'!$L$2:$L$20=$B$17)*($B$17&lt;&gt;"")*('Genel Müşteri Teklif Özeti'!$M$2:$M$20=$H$10)*($H$10&lt;&gt;"")*(('Genel Müşteri Teklif Özeti'!$C$2:$C$20=$J$2)+($J$2="Tümü"))*(('Genel Müşteri Teklif Özeti'!$B$2:$B$20=$L$2)+($L$2="Tümü")))</f>
        <v>0</v>
      </c>
      <c r="I17" s="52" cm="1">
        <f t="array" ref="I17">SUMPRODUCT(('Genel Müşteri Teklif Özeti'!$L$2:$L$20=$B$17)*($B$17&lt;&gt;"")*('Genel Müşteri Teklif Özeti'!$M$2:$M$20=$I$10)*($I$10&lt;&gt;"")*(('Genel Müşteri Teklif Özeti'!$C$2:$C$20=$J$2)+($J$2="Tümü"))*(('Genel Müşteri Teklif Özeti'!$B$2:$B$20=$L$2)+($L$2="Tümü")))</f>
        <v>0</v>
      </c>
      <c r="J17" s="53">
        <f>SUM($C$17:$I$17)</f>
        <v>0</v>
      </c>
    </row>
    <row r="18" spans="2:10" x14ac:dyDescent="0.25">
      <c r="B18" s="51" t="s">
        <v>96</v>
      </c>
      <c r="C18" s="54">
        <f>SUM($C$11:$C$17)</f>
        <v>3</v>
      </c>
      <c r="D18" s="54">
        <f>SUM($D$11:$D$17)</f>
        <v>2</v>
      </c>
      <c r="E18" s="54">
        <f>SUM($E$11:$E$17)</f>
        <v>4</v>
      </c>
      <c r="F18" s="54">
        <f>SUM($F$11:$F$17)</f>
        <v>2</v>
      </c>
      <c r="G18" s="54">
        <f>SUM($G$11:$G$17)</f>
        <v>2</v>
      </c>
      <c r="H18" s="54">
        <f>SUM($H$11:$H$17)</f>
        <v>1</v>
      </c>
      <c r="I18" s="54">
        <f>SUM($I$11:$I$17)</f>
        <v>5</v>
      </c>
      <c r="J18" s="54">
        <f>SUM($J$11:$J$17)</f>
        <v>19</v>
      </c>
    </row>
    <row r="97" hidden="1" x14ac:dyDescent="0.25"/>
  </sheetData>
  <sortState xmlns:xlrd2="http://schemas.microsoft.com/office/spreadsheetml/2017/richdata2" ref="Z2:Z3">
    <sortCondition descending="1" ref="Z2"/>
  </sortState>
  <mergeCells count="1">
    <mergeCell ref="B2:G3"/>
  </mergeCells>
  <dataValidations count="2">
    <dataValidation type="list" allowBlank="1" showInputMessage="1" showErrorMessage="1" sqref="J2" xr:uid="{0018766A-1D2F-427C-89D0-02DDA0A63F44}">
      <formula1>Yillar2</formula1>
    </dataValidation>
    <dataValidation type="list" allowBlank="1" showInputMessage="1" showErrorMessage="1" sqref="L2" xr:uid="{18ACBC1D-9C0E-4656-A6E3-3CB7574D9D95}">
      <formula1>Aylar</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278C7-2FD2-4339-BA0D-7B2B39D51EC4}">
  <sheetPr codeName="Sayfa2"/>
  <dimension ref="A1:Q80"/>
  <sheetViews>
    <sheetView showGridLines="0" zoomScale="85" zoomScaleNormal="85" workbookViewId="0">
      <selection activeCell="L14" sqref="L14:N14"/>
    </sheetView>
  </sheetViews>
  <sheetFormatPr defaultRowHeight="15" x14ac:dyDescent="0.25"/>
  <cols>
    <col min="1" max="1" width="4.85546875" style="2" customWidth="1"/>
    <col min="2" max="2" width="12.42578125" style="2" customWidth="1"/>
    <col min="3" max="5" width="9.140625" style="2"/>
    <col min="6" max="6" width="8.140625" style="2" customWidth="1"/>
    <col min="7" max="7" width="2.5703125" style="2" customWidth="1"/>
    <col min="8" max="8" width="8" style="2" customWidth="1"/>
    <col min="9" max="9" width="2.5703125" style="2" customWidth="1"/>
    <col min="10" max="10" width="0.85546875" style="2" customWidth="1"/>
    <col min="11" max="11" width="11.42578125" style="2" customWidth="1"/>
    <col min="12" max="12" width="5" style="2" customWidth="1"/>
    <col min="13" max="13" width="8.42578125" style="2" customWidth="1"/>
    <col min="14" max="14" width="12" style="2" customWidth="1"/>
    <col min="15" max="15" width="9.140625" style="2"/>
    <col min="16" max="16" width="12" style="2" customWidth="1"/>
    <col min="17" max="17" width="12.85546875" style="2" customWidth="1"/>
  </cols>
  <sheetData>
    <row r="1" spans="1:17" ht="15" customHeight="1" x14ac:dyDescent="0.25">
      <c r="A1" s="85"/>
      <c r="B1" s="85"/>
      <c r="C1" s="86" t="s">
        <v>73</v>
      </c>
      <c r="D1" s="86"/>
      <c r="E1" s="86"/>
      <c r="F1" s="86"/>
      <c r="G1" s="86"/>
      <c r="H1" s="86"/>
      <c r="I1" s="86"/>
      <c r="J1" s="86"/>
      <c r="K1" s="86"/>
      <c r="L1" s="86"/>
      <c r="M1" s="86"/>
      <c r="N1" s="86"/>
    </row>
    <row r="2" spans="1:17" ht="15" customHeight="1" x14ac:dyDescent="0.25">
      <c r="A2" s="85"/>
      <c r="B2" s="85"/>
      <c r="C2" s="86"/>
      <c r="D2" s="86"/>
      <c r="E2" s="86"/>
      <c r="F2" s="86"/>
      <c r="G2" s="86"/>
      <c r="H2" s="86"/>
      <c r="I2" s="86"/>
      <c r="J2" s="86"/>
      <c r="K2" s="86"/>
      <c r="L2" s="86"/>
      <c r="M2" s="86"/>
      <c r="N2" s="86"/>
    </row>
    <row r="3" spans="1:17" ht="15" customHeight="1" x14ac:dyDescent="0.25">
      <c r="A3" s="85"/>
      <c r="B3" s="85"/>
      <c r="C3" s="86" t="s">
        <v>74</v>
      </c>
      <c r="D3" s="87"/>
      <c r="E3" s="87"/>
      <c r="F3" s="87"/>
      <c r="G3" s="87"/>
      <c r="H3" s="87"/>
      <c r="I3" s="87"/>
      <c r="J3" s="87"/>
      <c r="K3" s="87"/>
      <c r="L3" s="87"/>
      <c r="M3" s="87"/>
      <c r="N3" s="87"/>
    </row>
    <row r="4" spans="1:17" ht="15" customHeight="1" x14ac:dyDescent="0.25">
      <c r="A4" s="42"/>
      <c r="B4" s="42"/>
      <c r="C4" s="87" t="s">
        <v>75</v>
      </c>
      <c r="D4" s="87"/>
      <c r="E4" s="87"/>
      <c r="F4" s="87"/>
      <c r="G4" s="87"/>
      <c r="H4" s="87"/>
      <c r="I4" s="87"/>
      <c r="J4" s="87"/>
      <c r="K4" s="87"/>
      <c r="L4" s="87"/>
      <c r="M4" s="87"/>
      <c r="N4" s="87"/>
    </row>
    <row r="5" spans="1:17" ht="15" customHeight="1" x14ac:dyDescent="0.25">
      <c r="A5" s="42"/>
      <c r="B5" s="42"/>
      <c r="C5" s="87" t="s">
        <v>76</v>
      </c>
      <c r="D5" s="87"/>
      <c r="E5" s="87"/>
      <c r="F5" s="87"/>
      <c r="G5" s="87"/>
      <c r="H5" s="87"/>
      <c r="I5" s="87"/>
      <c r="J5" s="87"/>
      <c r="K5" s="87"/>
      <c r="L5" s="87"/>
      <c r="M5" s="87"/>
      <c r="N5" s="87"/>
    </row>
    <row r="6" spans="1:17" ht="15" customHeight="1" x14ac:dyDescent="0.25">
      <c r="A6" s="42"/>
      <c r="B6" s="42"/>
      <c r="C6" s="87" t="s">
        <v>77</v>
      </c>
      <c r="D6" s="87"/>
      <c r="E6" s="87"/>
      <c r="F6" s="87"/>
      <c r="G6" s="87"/>
      <c r="H6" s="87"/>
      <c r="I6" s="87"/>
      <c r="J6" s="87"/>
      <c r="K6" s="87"/>
      <c r="L6" s="87"/>
      <c r="M6" s="87"/>
      <c r="N6" s="87"/>
    </row>
    <row r="7" spans="1:17" ht="15" customHeight="1" x14ac:dyDescent="0.25">
      <c r="A7" s="42"/>
      <c r="B7" s="42"/>
      <c r="C7" s="87" t="s">
        <v>78</v>
      </c>
      <c r="D7" s="87"/>
      <c r="E7" s="87"/>
      <c r="F7" s="87"/>
      <c r="G7" s="87"/>
      <c r="H7" s="87"/>
      <c r="I7" s="87"/>
      <c r="J7" s="87"/>
      <c r="K7" s="87"/>
      <c r="L7" s="87"/>
      <c r="M7" s="87"/>
      <c r="N7" s="87"/>
    </row>
    <row r="8" spans="1:17" ht="15" customHeight="1" x14ac:dyDescent="0.25">
      <c r="A8" s="42"/>
      <c r="B8" s="42"/>
      <c r="C8" s="87" t="s">
        <v>79</v>
      </c>
      <c r="D8" s="87"/>
      <c r="E8" s="87"/>
      <c r="F8" s="87"/>
      <c r="G8" s="87"/>
      <c r="H8" s="87"/>
      <c r="I8" s="87"/>
      <c r="J8" s="87"/>
      <c r="K8" s="87"/>
      <c r="L8" s="87"/>
      <c r="M8" s="87"/>
      <c r="N8" s="87"/>
    </row>
    <row r="9" spans="1:17" ht="15" customHeight="1" x14ac:dyDescent="0.25">
      <c r="A9" s="42"/>
      <c r="B9" s="42"/>
      <c r="C9" s="43"/>
      <c r="D9" s="43"/>
      <c r="E9" s="43"/>
      <c r="F9" s="43"/>
      <c r="G9" s="43"/>
      <c r="H9" s="43"/>
      <c r="I9" s="43"/>
      <c r="J9" s="43"/>
      <c r="K9" s="43"/>
      <c r="L9" s="43"/>
      <c r="M9" s="43"/>
      <c r="N9" s="43"/>
    </row>
    <row r="10" spans="1:17" ht="15" customHeight="1" x14ac:dyDescent="0.25">
      <c r="A10" s="3"/>
      <c r="B10" s="123" t="s">
        <v>42</v>
      </c>
      <c r="C10" s="112" t="s">
        <v>122</v>
      </c>
      <c r="D10" s="112"/>
      <c r="E10" s="112"/>
      <c r="F10" s="112"/>
      <c r="G10" s="112"/>
      <c r="H10" s="112"/>
      <c r="I10" s="3"/>
      <c r="J10" s="126" t="s">
        <v>17</v>
      </c>
      <c r="K10" s="127"/>
      <c r="L10" s="127"/>
      <c r="M10" s="127"/>
      <c r="N10" s="128"/>
    </row>
    <row r="11" spans="1:17" x14ac:dyDescent="0.25">
      <c r="A11" s="3"/>
      <c r="B11" s="123"/>
      <c r="C11" s="112"/>
      <c r="D11" s="112"/>
      <c r="E11" s="112"/>
      <c r="F11" s="112"/>
      <c r="G11" s="112"/>
      <c r="H11" s="112"/>
      <c r="I11" s="3"/>
      <c r="J11" s="129"/>
      <c r="K11" s="130"/>
      <c r="L11" s="130"/>
      <c r="M11" s="130"/>
      <c r="N11" s="131"/>
    </row>
    <row r="12" spans="1:17" ht="23.45" customHeight="1" x14ac:dyDescent="0.25">
      <c r="A12" s="4"/>
      <c r="B12" s="26" t="s">
        <v>26</v>
      </c>
      <c r="C12" s="124"/>
      <c r="D12" s="124"/>
      <c r="E12" s="124"/>
      <c r="F12" s="124"/>
      <c r="G12" s="124"/>
      <c r="H12" s="124"/>
      <c r="I12" s="3"/>
      <c r="J12" s="5"/>
      <c r="K12" s="5"/>
      <c r="L12" s="5"/>
      <c r="M12" s="5"/>
      <c r="N12" s="5"/>
    </row>
    <row r="13" spans="1:17" ht="23.45" customHeight="1" x14ac:dyDescent="0.25">
      <c r="A13" s="6"/>
      <c r="B13" s="112" t="s">
        <v>27</v>
      </c>
      <c r="C13" s="112"/>
      <c r="D13" s="112"/>
      <c r="E13" s="112"/>
      <c r="F13" s="112"/>
      <c r="G13" s="112"/>
      <c r="H13" s="112"/>
      <c r="I13" s="3"/>
      <c r="J13" s="113" t="s">
        <v>15</v>
      </c>
      <c r="K13" s="113"/>
      <c r="L13" s="132" t="s">
        <v>151</v>
      </c>
      <c r="M13" s="133"/>
      <c r="N13" s="134"/>
      <c r="P13" s="28"/>
      <c r="Q13" s="28"/>
    </row>
    <row r="14" spans="1:17" ht="23.45" customHeight="1" x14ac:dyDescent="0.25">
      <c r="A14" s="6"/>
      <c r="B14" s="112"/>
      <c r="C14" s="112"/>
      <c r="D14" s="112"/>
      <c r="E14" s="112"/>
      <c r="F14" s="112"/>
      <c r="G14" s="112"/>
      <c r="H14" s="112"/>
      <c r="I14" s="3"/>
      <c r="J14" s="135" t="s">
        <v>2</v>
      </c>
      <c r="K14" s="136"/>
      <c r="L14" s="137">
        <v>46031</v>
      </c>
      <c r="M14" s="138"/>
      <c r="N14" s="139"/>
    </row>
    <row r="15" spans="1:17" ht="23.45" customHeight="1" x14ac:dyDescent="0.25">
      <c r="A15" s="6"/>
      <c r="B15" s="27" t="s">
        <v>33</v>
      </c>
      <c r="C15" s="112" t="s">
        <v>56</v>
      </c>
      <c r="D15" s="112"/>
      <c r="E15" s="112"/>
      <c r="F15" s="112"/>
      <c r="G15" s="112"/>
      <c r="H15" s="112"/>
      <c r="I15" s="3"/>
      <c r="J15" s="113" t="s">
        <v>18</v>
      </c>
      <c r="K15" s="113"/>
      <c r="L15" s="125">
        <v>46037</v>
      </c>
      <c r="M15" s="125"/>
      <c r="N15" s="125"/>
    </row>
    <row r="16" spans="1:17" ht="23.45" customHeight="1" x14ac:dyDescent="0.25">
      <c r="A16" s="6"/>
      <c r="B16" s="27" t="s">
        <v>32</v>
      </c>
      <c r="C16" s="112" t="s">
        <v>61</v>
      </c>
      <c r="D16" s="112"/>
      <c r="E16" s="112"/>
      <c r="F16" s="112"/>
      <c r="G16" s="112"/>
      <c r="H16" s="112"/>
      <c r="I16" s="3"/>
      <c r="J16" s="113" t="s">
        <v>28</v>
      </c>
      <c r="K16" s="113"/>
      <c r="L16" s="113"/>
      <c r="M16" s="113"/>
      <c r="N16" s="113"/>
    </row>
    <row r="17" spans="1:17" x14ac:dyDescent="0.25">
      <c r="A17" s="6"/>
      <c r="B17" s="6"/>
      <c r="C17" s="6"/>
      <c r="D17" s="6"/>
      <c r="E17" s="6"/>
      <c r="F17" s="6"/>
      <c r="G17" s="6"/>
      <c r="H17" s="6"/>
      <c r="I17" s="3"/>
      <c r="J17" s="3"/>
      <c r="K17" s="3"/>
      <c r="L17" s="3"/>
      <c r="M17" s="3"/>
      <c r="N17" s="3"/>
    </row>
    <row r="18" spans="1:17" ht="5.25" customHeight="1" x14ac:dyDescent="0.25">
      <c r="A18" s="3"/>
      <c r="B18" s="121"/>
      <c r="C18" s="121"/>
      <c r="D18" s="121"/>
      <c r="E18" s="121"/>
      <c r="F18" s="121"/>
      <c r="G18" s="121"/>
      <c r="H18" s="121"/>
      <c r="I18" s="121"/>
      <c r="J18" s="121"/>
      <c r="K18" s="121"/>
      <c r="L18" s="121"/>
      <c r="M18" s="121"/>
      <c r="N18" s="121"/>
    </row>
    <row r="19" spans="1:17" ht="15.75" x14ac:dyDescent="0.25">
      <c r="A19" s="3"/>
      <c r="B19" s="7" t="s">
        <v>14</v>
      </c>
      <c r="C19" s="8"/>
      <c r="D19" s="8"/>
      <c r="E19" s="8"/>
      <c r="F19" s="8"/>
      <c r="G19" s="8"/>
      <c r="H19" s="120" t="s">
        <v>5</v>
      </c>
      <c r="I19" s="120"/>
      <c r="J19" s="8"/>
      <c r="K19" s="9" t="s">
        <v>19</v>
      </c>
      <c r="L19" s="122" t="s">
        <v>20</v>
      </c>
      <c r="M19" s="122"/>
      <c r="N19" s="10" t="s">
        <v>16</v>
      </c>
      <c r="P19" s="11" t="s">
        <v>21</v>
      </c>
      <c r="Q19" s="11" t="s">
        <v>22</v>
      </c>
    </row>
    <row r="20" spans="1:17" ht="1.5" customHeight="1" x14ac:dyDescent="0.25">
      <c r="A20" s="3"/>
      <c r="B20" s="3"/>
      <c r="C20" s="3"/>
      <c r="D20" s="3"/>
      <c r="E20" s="3"/>
      <c r="F20" s="3"/>
      <c r="G20" s="3"/>
      <c r="H20" s="3"/>
      <c r="I20" s="3"/>
      <c r="J20" s="3"/>
      <c r="K20" s="3"/>
      <c r="L20" s="3"/>
      <c r="M20" s="3"/>
      <c r="N20" s="3"/>
      <c r="P20" s="11"/>
      <c r="Q20" s="11"/>
    </row>
    <row r="21" spans="1:17" ht="8.25" customHeight="1" x14ac:dyDescent="0.25">
      <c r="A21" s="3"/>
      <c r="B21" s="3"/>
      <c r="C21" s="3"/>
      <c r="D21" s="3"/>
      <c r="E21" s="3"/>
      <c r="F21" s="3"/>
      <c r="G21" s="3"/>
      <c r="H21" s="44"/>
      <c r="I21" s="44"/>
      <c r="J21" s="44"/>
      <c r="K21" s="44"/>
      <c r="L21" s="3"/>
      <c r="M21" s="3"/>
      <c r="N21" s="3"/>
      <c r="P21" s="12" t="s">
        <v>41</v>
      </c>
      <c r="Q21" s="12">
        <v>0.2</v>
      </c>
    </row>
    <row r="22" spans="1:17" ht="30" customHeight="1" x14ac:dyDescent="0.25">
      <c r="A22" s="13">
        <v>1</v>
      </c>
      <c r="B22" s="114" t="s">
        <v>129</v>
      </c>
      <c r="C22" s="115"/>
      <c r="D22" s="115"/>
      <c r="E22" s="115"/>
      <c r="F22" s="115"/>
      <c r="G22" s="116"/>
      <c r="H22" s="117">
        <v>20</v>
      </c>
      <c r="I22" s="118"/>
      <c r="J22" s="119"/>
      <c r="K22" s="23">
        <v>55</v>
      </c>
      <c r="L22" s="117">
        <f t="shared" ref="L22:L28" si="0">IF(OR(H22="",K22="",),"",H22*K22)</f>
        <v>1100</v>
      </c>
      <c r="M22" s="119"/>
      <c r="N22" s="23"/>
      <c r="P22" s="14">
        <f t="shared" ref="P22:P31" si="1">IFERROR(L22*(1-$L$34),0)</f>
        <v>1078</v>
      </c>
      <c r="Q22" s="14">
        <f t="shared" ref="Q22" si="2">IFERROR(P22*(1+$L$36),0)</f>
        <v>1293.5999999999999</v>
      </c>
    </row>
    <row r="23" spans="1:17" ht="30" customHeight="1" x14ac:dyDescent="0.25">
      <c r="A23" s="13">
        <v>2</v>
      </c>
      <c r="B23" s="88" t="s">
        <v>128</v>
      </c>
      <c r="C23" s="89"/>
      <c r="D23" s="89"/>
      <c r="E23" s="89"/>
      <c r="F23" s="89"/>
      <c r="G23" s="90"/>
      <c r="H23" s="91">
        <v>200</v>
      </c>
      <c r="I23" s="91"/>
      <c r="J23" s="91"/>
      <c r="K23" s="24">
        <v>250</v>
      </c>
      <c r="L23" s="92">
        <f t="shared" si="0"/>
        <v>50000</v>
      </c>
      <c r="M23" s="93"/>
      <c r="N23" s="23"/>
      <c r="P23" s="14">
        <f t="shared" si="1"/>
        <v>49000</v>
      </c>
      <c r="Q23" s="14">
        <f t="shared" ref="Q23:Q31" si="3">IFERROR(P23*(1+$L$36),0)</f>
        <v>58800</v>
      </c>
    </row>
    <row r="24" spans="1:17" ht="30" customHeight="1" x14ac:dyDescent="0.25">
      <c r="A24" s="13">
        <v>3</v>
      </c>
      <c r="B24" s="94" t="s">
        <v>129</v>
      </c>
      <c r="C24" s="94"/>
      <c r="D24" s="94"/>
      <c r="E24" s="94"/>
      <c r="F24" s="94"/>
      <c r="G24" s="94"/>
      <c r="H24" s="91">
        <v>150</v>
      </c>
      <c r="I24" s="91"/>
      <c r="J24" s="91"/>
      <c r="K24" s="24">
        <v>36</v>
      </c>
      <c r="L24" s="92">
        <f t="shared" si="0"/>
        <v>5400</v>
      </c>
      <c r="M24" s="93"/>
      <c r="N24" s="23"/>
      <c r="P24" s="14">
        <f t="shared" si="1"/>
        <v>5292</v>
      </c>
      <c r="Q24" s="14">
        <f t="shared" si="3"/>
        <v>6350.4</v>
      </c>
    </row>
    <row r="25" spans="1:17" ht="30" customHeight="1" x14ac:dyDescent="0.25">
      <c r="A25" s="13">
        <v>4</v>
      </c>
      <c r="B25" s="94"/>
      <c r="C25" s="94"/>
      <c r="D25" s="94"/>
      <c r="E25" s="94"/>
      <c r="F25" s="94"/>
      <c r="G25" s="94"/>
      <c r="H25" s="91"/>
      <c r="I25" s="91"/>
      <c r="J25" s="91"/>
      <c r="K25" s="24"/>
      <c r="L25" s="92" t="str">
        <f t="shared" si="0"/>
        <v/>
      </c>
      <c r="M25" s="93"/>
      <c r="N25" s="23"/>
      <c r="P25" s="14">
        <f t="shared" si="1"/>
        <v>0</v>
      </c>
      <c r="Q25" s="14">
        <f t="shared" si="3"/>
        <v>0</v>
      </c>
    </row>
    <row r="26" spans="1:17" ht="30" customHeight="1" x14ac:dyDescent="0.25">
      <c r="A26" s="13">
        <v>5</v>
      </c>
      <c r="B26" s="94"/>
      <c r="C26" s="94"/>
      <c r="D26" s="94"/>
      <c r="E26" s="94"/>
      <c r="F26" s="94"/>
      <c r="G26" s="94"/>
      <c r="H26" s="91"/>
      <c r="I26" s="91"/>
      <c r="J26" s="91"/>
      <c r="K26" s="24"/>
      <c r="L26" s="92" t="str">
        <f t="shared" si="0"/>
        <v/>
      </c>
      <c r="M26" s="93"/>
      <c r="N26" s="23"/>
      <c r="P26" s="14">
        <f t="shared" si="1"/>
        <v>0</v>
      </c>
      <c r="Q26" s="14">
        <f t="shared" si="3"/>
        <v>0</v>
      </c>
    </row>
    <row r="27" spans="1:17" ht="30" customHeight="1" x14ac:dyDescent="0.25">
      <c r="A27" s="13">
        <v>6</v>
      </c>
      <c r="B27" s="94"/>
      <c r="C27" s="94"/>
      <c r="D27" s="94"/>
      <c r="E27" s="94"/>
      <c r="F27" s="94"/>
      <c r="G27" s="94"/>
      <c r="H27" s="91"/>
      <c r="I27" s="91"/>
      <c r="J27" s="91"/>
      <c r="K27" s="24"/>
      <c r="L27" s="92" t="str">
        <f t="shared" si="0"/>
        <v/>
      </c>
      <c r="M27" s="93"/>
      <c r="N27" s="23"/>
      <c r="P27" s="14">
        <f t="shared" si="1"/>
        <v>0</v>
      </c>
      <c r="Q27" s="14">
        <f t="shared" si="3"/>
        <v>0</v>
      </c>
    </row>
    <row r="28" spans="1:17" ht="30" customHeight="1" x14ac:dyDescent="0.25">
      <c r="A28" s="13">
        <v>7</v>
      </c>
      <c r="B28" s="94"/>
      <c r="C28" s="94"/>
      <c r="D28" s="94"/>
      <c r="E28" s="94"/>
      <c r="F28" s="94"/>
      <c r="G28" s="94"/>
      <c r="H28" s="91"/>
      <c r="I28" s="91"/>
      <c r="J28" s="91"/>
      <c r="K28" s="24"/>
      <c r="L28" s="92" t="str">
        <f t="shared" si="0"/>
        <v/>
      </c>
      <c r="M28" s="93"/>
      <c r="N28" s="23"/>
      <c r="P28" s="14">
        <f t="shared" si="1"/>
        <v>0</v>
      </c>
      <c r="Q28" s="14">
        <f t="shared" si="3"/>
        <v>0</v>
      </c>
    </row>
    <row r="29" spans="1:17" ht="30" customHeight="1" x14ac:dyDescent="0.25">
      <c r="A29" s="13">
        <v>8</v>
      </c>
      <c r="B29" s="117"/>
      <c r="C29" s="118"/>
      <c r="D29" s="118"/>
      <c r="E29" s="118"/>
      <c r="F29" s="118"/>
      <c r="G29" s="119"/>
      <c r="H29" s="117"/>
      <c r="I29" s="118"/>
      <c r="J29" s="119"/>
      <c r="K29" s="24"/>
      <c r="L29" s="92"/>
      <c r="M29" s="93"/>
      <c r="N29" s="23"/>
      <c r="P29" s="14">
        <f t="shared" si="1"/>
        <v>0</v>
      </c>
      <c r="Q29" s="14">
        <f t="shared" si="3"/>
        <v>0</v>
      </c>
    </row>
    <row r="30" spans="1:17" ht="30" customHeight="1" x14ac:dyDescent="0.25">
      <c r="A30" s="13">
        <v>9</v>
      </c>
      <c r="B30" s="94"/>
      <c r="C30" s="94"/>
      <c r="D30" s="94"/>
      <c r="E30" s="94"/>
      <c r="F30" s="94"/>
      <c r="G30" s="94"/>
      <c r="H30" s="91"/>
      <c r="I30" s="91"/>
      <c r="J30" s="91"/>
      <c r="K30" s="24"/>
      <c r="L30" s="97"/>
      <c r="M30" s="98"/>
      <c r="N30" s="23"/>
      <c r="P30" s="14">
        <f t="shared" si="1"/>
        <v>0</v>
      </c>
      <c r="Q30" s="14">
        <f t="shared" si="3"/>
        <v>0</v>
      </c>
    </row>
    <row r="31" spans="1:17" ht="30" customHeight="1" x14ac:dyDescent="0.25">
      <c r="A31" s="13">
        <v>10</v>
      </c>
      <c r="B31" s="94"/>
      <c r="C31" s="94"/>
      <c r="D31" s="94"/>
      <c r="E31" s="94"/>
      <c r="F31" s="94"/>
      <c r="G31" s="94"/>
      <c r="H31" s="91"/>
      <c r="I31" s="91"/>
      <c r="J31" s="91"/>
      <c r="K31" s="24"/>
      <c r="L31" s="97"/>
      <c r="M31" s="98"/>
      <c r="N31" s="23"/>
      <c r="P31" s="14">
        <f t="shared" si="1"/>
        <v>0</v>
      </c>
      <c r="Q31" s="14">
        <f t="shared" si="3"/>
        <v>0</v>
      </c>
    </row>
    <row r="32" spans="1:17" x14ac:dyDescent="0.25">
      <c r="A32" s="3"/>
      <c r="B32" s="3"/>
      <c r="C32" s="3"/>
      <c r="D32" s="3"/>
      <c r="E32" s="3"/>
      <c r="F32" s="3"/>
      <c r="G32" s="3"/>
      <c r="H32" s="3"/>
      <c r="I32" s="3"/>
      <c r="J32" s="3"/>
      <c r="K32" s="3"/>
      <c r="L32" s="3"/>
      <c r="M32" s="3"/>
      <c r="N32" s="3"/>
      <c r="P32" s="15"/>
      <c r="Q32" s="15"/>
    </row>
    <row r="33" spans="1:17" ht="16.5" customHeight="1" x14ac:dyDescent="0.25">
      <c r="A33" s="3"/>
      <c r="B33" s="101" t="s">
        <v>30</v>
      </c>
      <c r="C33" s="102"/>
      <c r="D33" s="102"/>
      <c r="E33" s="102"/>
      <c r="F33" s="102"/>
      <c r="G33" s="102"/>
      <c r="H33" s="102"/>
      <c r="I33" s="102"/>
      <c r="J33" s="102"/>
      <c r="K33" s="103"/>
      <c r="L33" s="99" t="s">
        <v>11</v>
      </c>
      <c r="M33" s="100"/>
      <c r="N33" s="17">
        <f>SUM(L22:M31)</f>
        <v>56500</v>
      </c>
      <c r="P33" s="83">
        <f>SUM(P22:P31)</f>
        <v>55370</v>
      </c>
      <c r="Q33" s="83">
        <f>SUM(Q22:Q31)</f>
        <v>66444</v>
      </c>
    </row>
    <row r="34" spans="1:17" ht="16.5" customHeight="1" x14ac:dyDescent="0.25">
      <c r="A34" s="3"/>
      <c r="B34" s="104"/>
      <c r="C34" s="105"/>
      <c r="D34" s="105"/>
      <c r="E34" s="105"/>
      <c r="F34" s="105"/>
      <c r="G34" s="105"/>
      <c r="H34" s="105"/>
      <c r="I34" s="105"/>
      <c r="J34" s="105"/>
      <c r="K34" s="106"/>
      <c r="L34" s="18">
        <v>0.02</v>
      </c>
      <c r="M34" s="16" t="s">
        <v>80</v>
      </c>
      <c r="N34" s="19">
        <f>N33-P33</f>
        <v>1130</v>
      </c>
      <c r="P34" s="84"/>
      <c r="Q34" s="84"/>
    </row>
    <row r="35" spans="1:17" ht="17.25" customHeight="1" x14ac:dyDescent="0.25">
      <c r="A35" s="3"/>
      <c r="B35" s="104"/>
      <c r="C35" s="105"/>
      <c r="D35" s="105"/>
      <c r="E35" s="105"/>
      <c r="F35" s="105"/>
      <c r="G35" s="105"/>
      <c r="H35" s="105"/>
      <c r="I35" s="105"/>
      <c r="J35" s="105"/>
      <c r="K35" s="106"/>
      <c r="L35" s="99" t="s">
        <v>23</v>
      </c>
      <c r="M35" s="100"/>
      <c r="N35" s="19">
        <f>N33-N34</f>
        <v>55370</v>
      </c>
      <c r="P35" s="20"/>
      <c r="Q35" s="20"/>
    </row>
    <row r="36" spans="1:17" ht="16.5" customHeight="1" x14ac:dyDescent="0.25">
      <c r="A36" s="3"/>
      <c r="B36" s="104"/>
      <c r="C36" s="105"/>
      <c r="D36" s="105"/>
      <c r="E36" s="105"/>
      <c r="F36" s="105"/>
      <c r="G36" s="105"/>
      <c r="H36" s="105"/>
      <c r="I36" s="105"/>
      <c r="J36" s="105"/>
      <c r="K36" s="106"/>
      <c r="L36" s="21">
        <v>0.2</v>
      </c>
      <c r="M36" s="16" t="s">
        <v>22</v>
      </c>
      <c r="N36" s="19">
        <f>IF(L36=0,0,(N35*L36)+N35)</f>
        <v>66444</v>
      </c>
      <c r="P36" s="22"/>
      <c r="Q36" s="22"/>
    </row>
    <row r="37" spans="1:17" x14ac:dyDescent="0.25">
      <c r="A37" s="3"/>
      <c r="B37" s="104"/>
      <c r="C37" s="105"/>
      <c r="D37" s="105"/>
      <c r="E37" s="105"/>
      <c r="F37" s="105"/>
      <c r="G37" s="105"/>
      <c r="H37" s="105"/>
      <c r="I37" s="105"/>
      <c r="J37" s="105"/>
      <c r="K37" s="106"/>
      <c r="L37" s="99" t="s">
        <v>44</v>
      </c>
      <c r="M37" s="100"/>
      <c r="N37" s="19">
        <f>SUM(N35:N36)</f>
        <v>121814</v>
      </c>
      <c r="P37" s="22"/>
      <c r="Q37" s="22"/>
    </row>
    <row r="38" spans="1:17" ht="33.75" customHeight="1" x14ac:dyDescent="0.25">
      <c r="A38" s="3"/>
      <c r="B38" s="107"/>
      <c r="C38" s="108"/>
      <c r="D38" s="108"/>
      <c r="E38" s="108"/>
      <c r="F38" s="108"/>
      <c r="G38" s="108"/>
      <c r="H38" s="108"/>
      <c r="I38" s="108"/>
      <c r="J38" s="108"/>
      <c r="K38" s="109"/>
      <c r="L38" s="110" t="s">
        <v>31</v>
      </c>
      <c r="M38" s="111"/>
      <c r="N38" s="25"/>
      <c r="P38" s="22"/>
      <c r="Q38" s="22"/>
    </row>
    <row r="39" spans="1:17" ht="18" customHeight="1" x14ac:dyDescent="0.25">
      <c r="A39" s="3"/>
      <c r="B39" s="95" t="s">
        <v>29</v>
      </c>
      <c r="C39" s="95"/>
      <c r="D39" s="95"/>
      <c r="E39" s="95"/>
      <c r="F39" s="95"/>
      <c r="G39" s="95"/>
      <c r="H39" s="95"/>
      <c r="I39" s="95"/>
      <c r="J39" s="95"/>
      <c r="K39" s="95"/>
      <c r="L39" s="95"/>
      <c r="M39" s="95"/>
      <c r="N39" s="95"/>
      <c r="P39" s="22"/>
      <c r="Q39" s="22"/>
    </row>
    <row r="40" spans="1:17" ht="12" customHeight="1" x14ac:dyDescent="0.25">
      <c r="A40" s="3"/>
      <c r="B40" s="96"/>
      <c r="C40" s="96"/>
      <c r="D40" s="96"/>
      <c r="E40" s="96"/>
      <c r="F40" s="96"/>
      <c r="G40" s="96"/>
      <c r="H40" s="96"/>
      <c r="I40" s="96"/>
      <c r="J40" s="96"/>
      <c r="K40" s="96"/>
      <c r="L40" s="96"/>
      <c r="M40" s="96"/>
      <c r="N40" s="96"/>
    </row>
    <row r="41" spans="1:17" x14ac:dyDescent="0.25">
      <c r="B41" s="96"/>
      <c r="C41" s="96"/>
      <c r="D41" s="96"/>
      <c r="E41" s="96"/>
      <c r="F41" s="96"/>
      <c r="G41" s="96"/>
      <c r="H41" s="96"/>
      <c r="I41" s="96"/>
      <c r="J41" s="96"/>
      <c r="K41" s="96"/>
      <c r="L41" s="96"/>
      <c r="M41" s="96"/>
      <c r="N41" s="96"/>
    </row>
    <row r="43" spans="1:17" x14ac:dyDescent="0.25">
      <c r="A43" s="74"/>
      <c r="B43" s="75"/>
      <c r="C43" s="75"/>
      <c r="D43" s="75"/>
      <c r="E43" s="75"/>
      <c r="F43" s="75"/>
      <c r="G43" s="75"/>
      <c r="H43" s="75"/>
      <c r="I43" s="75"/>
      <c r="J43" s="75"/>
      <c r="K43" s="75"/>
      <c r="L43" s="75"/>
      <c r="M43" s="75"/>
      <c r="N43" s="76"/>
    </row>
    <row r="44" spans="1:17" x14ac:dyDescent="0.25">
      <c r="A44" s="77"/>
      <c r="N44" s="78"/>
    </row>
    <row r="45" spans="1:17" x14ac:dyDescent="0.25">
      <c r="A45" s="77"/>
      <c r="N45" s="78"/>
    </row>
    <row r="46" spans="1:17" x14ac:dyDescent="0.25">
      <c r="A46" s="77"/>
      <c r="N46" s="78"/>
    </row>
    <row r="47" spans="1:17" x14ac:dyDescent="0.25">
      <c r="A47" s="77"/>
      <c r="N47" s="78"/>
    </row>
    <row r="48" spans="1:17" x14ac:dyDescent="0.25">
      <c r="A48" s="77"/>
      <c r="N48" s="78"/>
    </row>
    <row r="49" spans="1:14" x14ac:dyDescent="0.25">
      <c r="A49" s="77"/>
      <c r="N49" s="78"/>
    </row>
    <row r="50" spans="1:14" x14ac:dyDescent="0.25">
      <c r="A50" s="77"/>
      <c r="N50" s="78"/>
    </row>
    <row r="51" spans="1:14" x14ac:dyDescent="0.25">
      <c r="A51" s="77"/>
      <c r="N51" s="78"/>
    </row>
    <row r="52" spans="1:14" x14ac:dyDescent="0.25">
      <c r="A52" s="77"/>
      <c r="N52" s="78"/>
    </row>
    <row r="53" spans="1:14" x14ac:dyDescent="0.25">
      <c r="A53" s="77"/>
      <c r="N53" s="78"/>
    </row>
    <row r="54" spans="1:14" x14ac:dyDescent="0.25">
      <c r="A54" s="77"/>
      <c r="N54" s="78"/>
    </row>
    <row r="55" spans="1:14" x14ac:dyDescent="0.25">
      <c r="A55" s="77"/>
      <c r="N55" s="78"/>
    </row>
    <row r="56" spans="1:14" x14ac:dyDescent="0.25">
      <c r="A56" s="77"/>
      <c r="N56" s="78"/>
    </row>
    <row r="57" spans="1:14" x14ac:dyDescent="0.25">
      <c r="A57" s="77"/>
      <c r="N57" s="78"/>
    </row>
    <row r="58" spans="1:14" x14ac:dyDescent="0.25">
      <c r="A58" s="77"/>
      <c r="N58" s="78"/>
    </row>
    <row r="59" spans="1:14" x14ac:dyDescent="0.25">
      <c r="A59" s="77"/>
      <c r="N59" s="78"/>
    </row>
    <row r="60" spans="1:14" x14ac:dyDescent="0.25">
      <c r="A60" s="77"/>
      <c r="N60" s="78"/>
    </row>
    <row r="61" spans="1:14" x14ac:dyDescent="0.25">
      <c r="A61" s="77"/>
      <c r="N61" s="78"/>
    </row>
    <row r="62" spans="1:14" x14ac:dyDescent="0.25">
      <c r="A62" s="77"/>
      <c r="N62" s="78"/>
    </row>
    <row r="63" spans="1:14" x14ac:dyDescent="0.25">
      <c r="A63" s="77"/>
      <c r="N63" s="78"/>
    </row>
    <row r="64" spans="1:14" x14ac:dyDescent="0.25">
      <c r="A64" s="77"/>
      <c r="N64" s="78"/>
    </row>
    <row r="65" spans="1:14" x14ac:dyDescent="0.25">
      <c r="A65" s="77"/>
      <c r="N65" s="78"/>
    </row>
    <row r="66" spans="1:14" x14ac:dyDescent="0.25">
      <c r="A66" s="77"/>
      <c r="N66" s="78"/>
    </row>
    <row r="67" spans="1:14" x14ac:dyDescent="0.25">
      <c r="A67" s="77"/>
      <c r="N67" s="78"/>
    </row>
    <row r="68" spans="1:14" x14ac:dyDescent="0.25">
      <c r="A68" s="77"/>
      <c r="N68" s="78"/>
    </row>
    <row r="69" spans="1:14" x14ac:dyDescent="0.25">
      <c r="A69" s="77"/>
      <c r="N69" s="78"/>
    </row>
    <row r="70" spans="1:14" x14ac:dyDescent="0.25">
      <c r="A70" s="77"/>
      <c r="N70" s="78"/>
    </row>
    <row r="71" spans="1:14" x14ac:dyDescent="0.25">
      <c r="A71" s="77"/>
      <c r="N71" s="78"/>
    </row>
    <row r="72" spans="1:14" x14ac:dyDescent="0.25">
      <c r="A72" s="77"/>
      <c r="N72" s="78"/>
    </row>
    <row r="73" spans="1:14" x14ac:dyDescent="0.25">
      <c r="A73" s="77"/>
      <c r="N73" s="78"/>
    </row>
    <row r="74" spans="1:14" x14ac:dyDescent="0.25">
      <c r="A74" s="77"/>
      <c r="N74" s="78"/>
    </row>
    <row r="75" spans="1:14" x14ac:dyDescent="0.25">
      <c r="A75" s="77"/>
      <c r="N75" s="78"/>
    </row>
    <row r="76" spans="1:14" x14ac:dyDescent="0.25">
      <c r="A76" s="77"/>
      <c r="N76" s="78"/>
    </row>
    <row r="77" spans="1:14" x14ac:dyDescent="0.25">
      <c r="A77" s="77"/>
      <c r="N77" s="78"/>
    </row>
    <row r="78" spans="1:14" x14ac:dyDescent="0.25">
      <c r="A78" s="77"/>
      <c r="N78" s="78"/>
    </row>
    <row r="79" spans="1:14" x14ac:dyDescent="0.25">
      <c r="A79" s="77"/>
      <c r="N79" s="78"/>
    </row>
    <row r="80" spans="1:14" x14ac:dyDescent="0.25">
      <c r="A80" s="79"/>
      <c r="B80" s="80"/>
      <c r="C80" s="80"/>
      <c r="D80" s="80"/>
      <c r="E80" s="80"/>
      <c r="F80" s="80"/>
      <c r="G80" s="80"/>
      <c r="H80" s="80"/>
      <c r="I80" s="80"/>
      <c r="J80" s="80"/>
      <c r="K80" s="80"/>
      <c r="L80" s="80"/>
      <c r="M80" s="80"/>
      <c r="N80" s="81"/>
    </row>
  </sheetData>
  <mergeCells count="64">
    <mergeCell ref="B26:G26"/>
    <mergeCell ref="H26:J26"/>
    <mergeCell ref="L26:M26"/>
    <mergeCell ref="B27:G27"/>
    <mergeCell ref="H27:J27"/>
    <mergeCell ref="L27:M27"/>
    <mergeCell ref="B28:G28"/>
    <mergeCell ref="H28:J28"/>
    <mergeCell ref="B30:G30"/>
    <mergeCell ref="H30:J30"/>
    <mergeCell ref="L30:M30"/>
    <mergeCell ref="L28:M28"/>
    <mergeCell ref="B29:G29"/>
    <mergeCell ref="H29:J29"/>
    <mergeCell ref="L29:M29"/>
    <mergeCell ref="C10:H11"/>
    <mergeCell ref="B10:B11"/>
    <mergeCell ref="C12:H12"/>
    <mergeCell ref="J15:K15"/>
    <mergeCell ref="L15:N15"/>
    <mergeCell ref="J10:N11"/>
    <mergeCell ref="J13:K13"/>
    <mergeCell ref="L13:N13"/>
    <mergeCell ref="J14:K14"/>
    <mergeCell ref="L14:N14"/>
    <mergeCell ref="H24:J24"/>
    <mergeCell ref="L24:M24"/>
    <mergeCell ref="L25:M25"/>
    <mergeCell ref="B13:H14"/>
    <mergeCell ref="C15:H15"/>
    <mergeCell ref="C16:H16"/>
    <mergeCell ref="J16:K16"/>
    <mergeCell ref="B22:G22"/>
    <mergeCell ref="H22:J22"/>
    <mergeCell ref="H19:I19"/>
    <mergeCell ref="L22:M22"/>
    <mergeCell ref="L16:N16"/>
    <mergeCell ref="B18:N18"/>
    <mergeCell ref="L19:M19"/>
    <mergeCell ref="B39:N41"/>
    <mergeCell ref="B31:G31"/>
    <mergeCell ref="H31:J31"/>
    <mergeCell ref="L31:M31"/>
    <mergeCell ref="L33:M33"/>
    <mergeCell ref="B33:K38"/>
    <mergeCell ref="L38:M38"/>
    <mergeCell ref="L37:M37"/>
    <mergeCell ref="L35:M35"/>
    <mergeCell ref="P33:P34"/>
    <mergeCell ref="Q33:Q34"/>
    <mergeCell ref="A1:B3"/>
    <mergeCell ref="C1:N2"/>
    <mergeCell ref="C3:N3"/>
    <mergeCell ref="C4:N4"/>
    <mergeCell ref="C8:N8"/>
    <mergeCell ref="C7:N7"/>
    <mergeCell ref="C6:N6"/>
    <mergeCell ref="C5:N5"/>
    <mergeCell ref="B23:G23"/>
    <mergeCell ref="H23:J23"/>
    <mergeCell ref="L23:M23"/>
    <mergeCell ref="B24:G24"/>
    <mergeCell ref="B25:G25"/>
    <mergeCell ref="H25:J25"/>
  </mergeCells>
  <dataValidations count="3">
    <dataValidation type="list" allowBlank="1" showInputMessage="1" showErrorMessage="1" sqref="C15:H15" xr:uid="{408FFC00-B2B0-480A-99B0-61625306BBD7}">
      <formula1>teklifVeren</formula1>
    </dataValidation>
    <dataValidation type="list" allowBlank="1" showInputMessage="1" showErrorMessage="1" sqref="C16:H16" xr:uid="{51AA3BA1-A589-46F0-9D35-22A76F040262}">
      <formula1>unvan</formula1>
    </dataValidation>
    <dataValidation type="list" allowBlank="1" showInputMessage="1" showErrorMessage="1" sqref="N22:N31" xr:uid="{ECFF5D40-5EEF-4631-96FE-FDB1FCD3D989}">
      <formula1>paraBirimi</formula1>
    </dataValidation>
  </dataValidations>
  <pageMargins left="0.7" right="0.7" top="0.75" bottom="0.75" header="0.3" footer="0.3"/>
  <pageSetup paperSize="9" scale="84" orientation="portrait" r:id="rId1"/>
  <colBreaks count="1" manualBreakCount="1">
    <brk id="14"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0739D73-88BE-4DFA-9490-1D9848C29E81}">
          <x14:formula1>
            <xm:f>Ayarlar!$K$2:$K$150</xm:f>
          </x14:formula1>
          <xm:sqref>C10:H11</xm:sqref>
        </x14:dataValidation>
        <x14:dataValidation type="list" allowBlank="1" showInputMessage="1" showErrorMessage="1" xr:uid="{88D865BB-26F3-4990-B231-01290E886101}">
          <x14:formula1>
            <xm:f>Ayarlar!$L$2:$L$16</xm:f>
          </x14:formula1>
          <xm:sqref>B22:G31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5E257-8D1C-460D-87D0-C242A1113C7E}">
  <sheetPr codeName="Sayfa4"/>
  <dimension ref="A1:Y20"/>
  <sheetViews>
    <sheetView zoomScaleNormal="100" workbookViewId="0">
      <pane ySplit="1" topLeftCell="A2" activePane="bottomLeft" state="frozen"/>
      <selection pane="bottomLeft" activeCell="H21" sqref="H21"/>
    </sheetView>
  </sheetViews>
  <sheetFormatPr defaultRowHeight="15" x14ac:dyDescent="0.25"/>
  <cols>
    <col min="1" max="1" width="9.140625" style="32"/>
    <col min="2" max="2" width="9.7109375" style="32" customWidth="1"/>
    <col min="3" max="3" width="9.140625" style="32"/>
    <col min="4" max="4" width="23.140625" style="33" customWidth="1"/>
    <col min="5" max="5" width="19.28515625" style="32" bestFit="1" customWidth="1"/>
    <col min="6" max="6" width="14" style="32" customWidth="1"/>
    <col min="7" max="7" width="13.85546875" style="32" bestFit="1" customWidth="1"/>
    <col min="8" max="8" width="20.85546875" style="33" bestFit="1" customWidth="1"/>
    <col min="9" max="9" width="18.28515625" style="32" customWidth="1"/>
    <col min="10" max="10" width="16" style="32" bestFit="1" customWidth="1"/>
    <col min="11" max="11" width="35.28515625" style="36" customWidth="1"/>
    <col min="12" max="12" width="17.140625" customWidth="1"/>
    <col min="13" max="13" width="16.140625" customWidth="1"/>
    <col min="14" max="14" width="13" customWidth="1"/>
    <col min="15" max="15" width="14.28515625" style="34" customWidth="1"/>
    <col min="16" max="17" width="9.140625" style="34"/>
    <col min="18" max="18" width="15.5703125" style="35" customWidth="1"/>
    <col min="19" max="19" width="16.85546875" style="35" customWidth="1"/>
    <col min="20" max="20" width="15" style="35" customWidth="1"/>
    <col min="21" max="21" width="17" style="35" customWidth="1"/>
    <col min="22" max="22" width="16" style="35" customWidth="1"/>
    <col min="23" max="23" width="11.28515625" style="32" customWidth="1"/>
    <col min="24" max="24" width="15.140625" style="32" customWidth="1"/>
    <col min="25" max="25" width="10.85546875" style="32" customWidth="1"/>
  </cols>
  <sheetData>
    <row r="1" spans="1:25" s="31" customFormat="1" ht="32.25" customHeight="1" x14ac:dyDescent="0.25">
      <c r="A1" s="37" t="s">
        <v>39</v>
      </c>
      <c r="B1" s="37" t="s">
        <v>0</v>
      </c>
      <c r="C1" s="37" t="s">
        <v>1</v>
      </c>
      <c r="D1" s="38" t="s">
        <v>2</v>
      </c>
      <c r="E1" s="37" t="s">
        <v>15</v>
      </c>
      <c r="F1" s="37" t="s">
        <v>28</v>
      </c>
      <c r="G1" s="37" t="s">
        <v>37</v>
      </c>
      <c r="H1" s="38" t="s">
        <v>3</v>
      </c>
      <c r="I1" s="37" t="s">
        <v>12</v>
      </c>
      <c r="J1" s="37" t="s">
        <v>8</v>
      </c>
      <c r="K1" s="37" t="s">
        <v>13</v>
      </c>
      <c r="L1" s="37" t="s">
        <v>6</v>
      </c>
      <c r="M1" s="37" t="s">
        <v>7</v>
      </c>
      <c r="N1" s="37" t="s">
        <v>4</v>
      </c>
      <c r="O1" s="39" t="s">
        <v>70</v>
      </c>
      <c r="P1" s="39" t="s">
        <v>63</v>
      </c>
      <c r="Q1" s="39" t="s">
        <v>147</v>
      </c>
      <c r="R1" s="37" t="s">
        <v>11</v>
      </c>
      <c r="S1" s="37" t="s">
        <v>69</v>
      </c>
      <c r="T1" s="37" t="s">
        <v>23</v>
      </c>
      <c r="U1" s="37" t="s">
        <v>67</v>
      </c>
      <c r="V1" s="37" t="s">
        <v>44</v>
      </c>
      <c r="W1" s="37" t="s">
        <v>35</v>
      </c>
      <c r="X1" s="37" t="s">
        <v>34</v>
      </c>
      <c r="Y1" s="37" t="s">
        <v>66</v>
      </c>
    </row>
    <row r="2" spans="1:25" x14ac:dyDescent="0.25">
      <c r="A2" s="32">
        <v>1</v>
      </c>
      <c r="B2" s="32" t="s">
        <v>64</v>
      </c>
      <c r="C2" s="32">
        <v>2025</v>
      </c>
      <c r="D2" s="33">
        <v>45665</v>
      </c>
      <c r="E2" s="32" t="s">
        <v>134</v>
      </c>
      <c r="F2" s="32" t="s">
        <v>135</v>
      </c>
      <c r="G2" s="40" t="s">
        <v>136</v>
      </c>
      <c r="H2" s="33">
        <v>45670</v>
      </c>
      <c r="I2"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Fatura Oluşturuldu</v>
      </c>
      <c r="J2" s="32" t="s">
        <v>81</v>
      </c>
      <c r="K2" s="36" t="s">
        <v>117</v>
      </c>
      <c r="L2" s="32" t="s">
        <v>46</v>
      </c>
      <c r="M2" s="32" t="s">
        <v>62</v>
      </c>
      <c r="N2" s="32" t="s">
        <v>58</v>
      </c>
      <c r="O2" s="41">
        <v>0.02</v>
      </c>
      <c r="P2" s="41">
        <v>0.2</v>
      </c>
      <c r="Q2" s="41"/>
      <c r="R2" s="35">
        <v>20700</v>
      </c>
      <c r="S2" s="35">
        <v>414</v>
      </c>
      <c r="T2" s="35">
        <v>20286</v>
      </c>
      <c r="U2" s="35">
        <v>24343.200000000001</v>
      </c>
      <c r="V2" s="35">
        <v>44629.2</v>
      </c>
      <c r="Y2" s="40"/>
    </row>
    <row r="3" spans="1:25" x14ac:dyDescent="0.25">
      <c r="A3" s="32">
        <v>2</v>
      </c>
      <c r="B3" s="32" t="s">
        <v>64</v>
      </c>
      <c r="C3" s="32">
        <v>2025</v>
      </c>
      <c r="D3" s="33">
        <v>45665</v>
      </c>
      <c r="E3" s="32" t="s">
        <v>137</v>
      </c>
      <c r="F3" s="32" t="s">
        <v>135</v>
      </c>
      <c r="G3" s="40" t="s">
        <v>136</v>
      </c>
      <c r="H3" s="33">
        <v>45677</v>
      </c>
      <c r="I3"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-359 Süre Doldu</v>
      </c>
      <c r="J3" s="32" t="s">
        <v>81</v>
      </c>
      <c r="K3" s="36" t="s">
        <v>115</v>
      </c>
      <c r="L3" s="32" t="s">
        <v>47</v>
      </c>
      <c r="M3" s="32" t="s">
        <v>52</v>
      </c>
      <c r="N3" s="32" t="s">
        <v>58</v>
      </c>
      <c r="O3" s="41">
        <v>0.02</v>
      </c>
      <c r="P3" s="41">
        <v>0.2</v>
      </c>
      <c r="Q3" s="41"/>
      <c r="R3" s="35">
        <v>20700</v>
      </c>
      <c r="S3" s="35">
        <v>414</v>
      </c>
      <c r="T3" s="35">
        <v>20286</v>
      </c>
      <c r="U3" s="35">
        <v>24343.200000000001</v>
      </c>
      <c r="V3" s="35">
        <v>44629.2</v>
      </c>
      <c r="Y3" s="40"/>
    </row>
    <row r="4" spans="1:25" x14ac:dyDescent="0.25">
      <c r="A4" s="32">
        <v>3</v>
      </c>
      <c r="B4" s="32" t="s">
        <v>100</v>
      </c>
      <c r="C4" s="32">
        <v>2025</v>
      </c>
      <c r="D4" s="33">
        <v>45999</v>
      </c>
      <c r="E4" s="32" t="s">
        <v>138</v>
      </c>
      <c r="F4" s="32" t="s">
        <v>135</v>
      </c>
      <c r="G4" s="40" t="s">
        <v>136</v>
      </c>
      <c r="H4" s="33">
        <v>46011</v>
      </c>
      <c r="I4"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Fatura Oluşturuldu</v>
      </c>
      <c r="J4" s="32" t="s">
        <v>81</v>
      </c>
      <c r="K4" s="36" t="s">
        <v>116</v>
      </c>
      <c r="L4" s="32" t="s">
        <v>47</v>
      </c>
      <c r="M4" s="32" t="s">
        <v>62</v>
      </c>
      <c r="N4" s="32" t="s">
        <v>58</v>
      </c>
      <c r="O4" s="41">
        <v>0</v>
      </c>
      <c r="P4" s="41">
        <v>0.2</v>
      </c>
      <c r="Q4" s="41"/>
      <c r="R4" s="35">
        <v>30350</v>
      </c>
      <c r="S4" s="35">
        <v>0</v>
      </c>
      <c r="T4" s="35">
        <v>30350</v>
      </c>
      <c r="U4" s="35">
        <v>36420</v>
      </c>
      <c r="V4" s="35">
        <v>66770</v>
      </c>
      <c r="Y4" s="40"/>
    </row>
    <row r="5" spans="1:25" x14ac:dyDescent="0.25">
      <c r="A5" s="32">
        <v>4</v>
      </c>
      <c r="B5" s="32" t="s">
        <v>100</v>
      </c>
      <c r="C5" s="32">
        <v>2025</v>
      </c>
      <c r="D5" s="33">
        <v>45999</v>
      </c>
      <c r="E5" s="32" t="s">
        <v>138</v>
      </c>
      <c r="F5" s="32" t="s">
        <v>139</v>
      </c>
      <c r="G5" s="40" t="s">
        <v>136</v>
      </c>
      <c r="H5" s="33">
        <v>46011</v>
      </c>
      <c r="I5"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-25 Süre Doldu</v>
      </c>
      <c r="J5" s="32" t="s">
        <v>81</v>
      </c>
      <c r="K5" s="36" t="s">
        <v>116</v>
      </c>
      <c r="L5" s="32" t="s">
        <v>46</v>
      </c>
      <c r="M5" s="32" t="s">
        <v>50</v>
      </c>
      <c r="N5" s="32" t="s">
        <v>58</v>
      </c>
      <c r="O5" s="41">
        <v>0</v>
      </c>
      <c r="P5" s="41">
        <v>0.2</v>
      </c>
      <c r="Q5" s="41"/>
      <c r="R5" s="35">
        <v>36300</v>
      </c>
      <c r="S5" s="35">
        <v>0</v>
      </c>
      <c r="T5" s="35">
        <v>36300</v>
      </c>
      <c r="U5" s="35">
        <v>43560</v>
      </c>
      <c r="V5" s="35">
        <v>79860</v>
      </c>
      <c r="Y5" s="40"/>
    </row>
    <row r="6" spans="1:25" x14ac:dyDescent="0.25">
      <c r="A6" s="32">
        <v>5</v>
      </c>
      <c r="B6" s="32" t="s">
        <v>64</v>
      </c>
      <c r="C6" s="32">
        <v>2026</v>
      </c>
      <c r="D6" s="33">
        <v>46030</v>
      </c>
      <c r="E6" s="32" t="s">
        <v>140</v>
      </c>
      <c r="F6" s="32" t="s">
        <v>135</v>
      </c>
      <c r="G6" s="40" t="s">
        <v>136</v>
      </c>
      <c r="H6" s="33">
        <v>46037</v>
      </c>
      <c r="I6"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6" s="32" t="s">
        <v>81</v>
      </c>
      <c r="K6" s="36" t="s">
        <v>123</v>
      </c>
      <c r="L6" s="32" t="s">
        <v>48</v>
      </c>
      <c r="M6" s="32" t="s">
        <v>50</v>
      </c>
      <c r="N6" s="32" t="s">
        <v>58</v>
      </c>
      <c r="O6" s="41">
        <v>0</v>
      </c>
      <c r="P6" s="41">
        <v>0.2</v>
      </c>
      <c r="Q6" s="41"/>
      <c r="R6" s="35">
        <v>36300</v>
      </c>
      <c r="S6" s="35">
        <v>0</v>
      </c>
      <c r="T6" s="35">
        <v>36300</v>
      </c>
      <c r="U6" s="35">
        <v>43560</v>
      </c>
      <c r="V6" s="35">
        <v>79860</v>
      </c>
      <c r="Y6" s="40"/>
    </row>
    <row r="7" spans="1:25" x14ac:dyDescent="0.25">
      <c r="A7" s="32">
        <v>6</v>
      </c>
      <c r="B7" s="32" t="s">
        <v>64</v>
      </c>
      <c r="C7" s="32">
        <v>2026</v>
      </c>
      <c r="D7" s="33">
        <v>46030</v>
      </c>
      <c r="E7" s="32" t="s">
        <v>141</v>
      </c>
      <c r="F7" s="32" t="s">
        <v>135</v>
      </c>
      <c r="G7" s="40" t="s">
        <v>136</v>
      </c>
      <c r="H7" s="33">
        <v>46030</v>
      </c>
      <c r="I7"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Sipariş İptal</v>
      </c>
      <c r="J7" s="32" t="s">
        <v>81</v>
      </c>
      <c r="K7" s="36" t="s">
        <v>119</v>
      </c>
      <c r="L7" s="32" t="s">
        <v>49</v>
      </c>
      <c r="M7" s="32" t="s">
        <v>53</v>
      </c>
      <c r="N7" s="32" t="s">
        <v>58</v>
      </c>
      <c r="O7" s="41">
        <v>0.05</v>
      </c>
      <c r="P7" s="41">
        <v>0.2</v>
      </c>
      <c r="Q7" s="41"/>
      <c r="R7" s="35">
        <v>36300</v>
      </c>
      <c r="S7" s="35">
        <v>1815</v>
      </c>
      <c r="T7" s="35">
        <v>34485</v>
      </c>
      <c r="U7" s="35">
        <v>41382</v>
      </c>
      <c r="V7" s="35">
        <v>75867</v>
      </c>
      <c r="Y7" s="40"/>
    </row>
    <row r="8" spans="1:25" x14ac:dyDescent="0.25">
      <c r="A8" s="32">
        <v>7</v>
      </c>
      <c r="B8" s="32" t="s">
        <v>64</v>
      </c>
      <c r="C8" s="32">
        <v>2026</v>
      </c>
      <c r="D8" s="33">
        <v>46030</v>
      </c>
      <c r="E8" s="32" t="s">
        <v>141</v>
      </c>
      <c r="F8" s="32" t="s">
        <v>135</v>
      </c>
      <c r="G8" s="40" t="s">
        <v>136</v>
      </c>
      <c r="H8" s="33">
        <v>46032</v>
      </c>
      <c r="I8"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-4 Süre Doldu</v>
      </c>
      <c r="J8" s="32" t="s">
        <v>81</v>
      </c>
      <c r="K8" s="36" t="s">
        <v>124</v>
      </c>
      <c r="L8" s="32" t="s">
        <v>46</v>
      </c>
      <c r="M8" s="32" t="s">
        <v>51</v>
      </c>
      <c r="N8" s="32" t="s">
        <v>58</v>
      </c>
      <c r="O8" s="41">
        <v>0.05</v>
      </c>
      <c r="P8" s="41">
        <v>0.2</v>
      </c>
      <c r="Q8" s="41"/>
      <c r="R8" s="35">
        <v>36300</v>
      </c>
      <c r="S8" s="35">
        <v>1815</v>
      </c>
      <c r="T8" s="35">
        <v>34485</v>
      </c>
      <c r="U8" s="35">
        <v>41382</v>
      </c>
      <c r="V8" s="35">
        <v>75867</v>
      </c>
      <c r="Y8" s="40"/>
    </row>
    <row r="9" spans="1:25" x14ac:dyDescent="0.25">
      <c r="A9" s="32">
        <v>8</v>
      </c>
      <c r="B9" s="32" t="s">
        <v>64</v>
      </c>
      <c r="C9" s="32">
        <v>2026</v>
      </c>
      <c r="D9" s="33">
        <v>46030</v>
      </c>
      <c r="E9" s="32" t="s">
        <v>141</v>
      </c>
      <c r="F9" s="32" t="s">
        <v>139</v>
      </c>
      <c r="G9" s="40" t="s">
        <v>136</v>
      </c>
      <c r="H9" s="33">
        <v>46032</v>
      </c>
      <c r="I9"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-4 Süre Doldu</v>
      </c>
      <c r="J9" s="32" t="s">
        <v>81</v>
      </c>
      <c r="K9" s="36" t="s">
        <v>124</v>
      </c>
      <c r="L9" s="32" t="s">
        <v>49</v>
      </c>
      <c r="M9" s="32" t="s">
        <v>65</v>
      </c>
      <c r="N9" s="32" t="s">
        <v>58</v>
      </c>
      <c r="O9" s="41">
        <v>0.03</v>
      </c>
      <c r="P9" s="41">
        <v>0.2</v>
      </c>
      <c r="Q9" s="41"/>
      <c r="R9" s="35">
        <v>39300</v>
      </c>
      <c r="S9" s="35">
        <v>1179</v>
      </c>
      <c r="T9" s="35">
        <v>38121</v>
      </c>
      <c r="U9" s="35">
        <v>45745.2</v>
      </c>
      <c r="V9" s="35">
        <v>83866.2</v>
      </c>
      <c r="Y9" s="40"/>
    </row>
    <row r="10" spans="1:25" x14ac:dyDescent="0.25">
      <c r="A10" s="32">
        <v>9</v>
      </c>
      <c r="B10" s="32" t="s">
        <v>64</v>
      </c>
      <c r="C10" s="32">
        <v>2026</v>
      </c>
      <c r="D10" s="33">
        <v>46030</v>
      </c>
      <c r="E10" s="32" t="s">
        <v>141</v>
      </c>
      <c r="F10" s="32" t="s">
        <v>142</v>
      </c>
      <c r="G10" s="40" t="s">
        <v>136</v>
      </c>
      <c r="H10" s="33">
        <v>46033</v>
      </c>
      <c r="I10"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-3 Süre Doldu</v>
      </c>
      <c r="J10" s="32" t="s">
        <v>81</v>
      </c>
      <c r="K10" s="36" t="s">
        <v>124</v>
      </c>
      <c r="L10" s="32" t="s">
        <v>48</v>
      </c>
      <c r="M10" s="32" t="s">
        <v>52</v>
      </c>
      <c r="N10" s="32" t="s">
        <v>58</v>
      </c>
      <c r="O10" s="41">
        <v>0.03</v>
      </c>
      <c r="P10" s="41">
        <v>0.2</v>
      </c>
      <c r="Q10" s="41"/>
      <c r="R10" s="35">
        <v>39500</v>
      </c>
      <c r="S10" s="35">
        <v>1185</v>
      </c>
      <c r="T10" s="35">
        <v>38315</v>
      </c>
      <c r="U10" s="35">
        <v>45978</v>
      </c>
      <c r="V10" s="35">
        <v>84293</v>
      </c>
      <c r="Y10" s="40"/>
    </row>
    <row r="11" spans="1:25" x14ac:dyDescent="0.25">
      <c r="A11" s="32">
        <v>10</v>
      </c>
      <c r="B11" s="32" t="s">
        <v>64</v>
      </c>
      <c r="C11" s="32">
        <v>2026</v>
      </c>
      <c r="D11" s="33">
        <v>46030</v>
      </c>
      <c r="E11" s="32" t="s">
        <v>143</v>
      </c>
      <c r="F11" s="32" t="s">
        <v>135</v>
      </c>
      <c r="G11" s="40" t="s">
        <v>136</v>
      </c>
      <c r="H11" s="33">
        <v>46037</v>
      </c>
      <c r="I11"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11" s="32" t="s">
        <v>81</v>
      </c>
      <c r="K11" s="36" t="s">
        <v>133</v>
      </c>
      <c r="L11" s="32" t="s">
        <v>47</v>
      </c>
      <c r="M11" s="32" t="s">
        <v>51</v>
      </c>
      <c r="N11" s="32" t="s">
        <v>58</v>
      </c>
      <c r="O11" s="41">
        <v>0.03</v>
      </c>
      <c r="P11" s="41">
        <v>0.2</v>
      </c>
      <c r="Q11" s="41"/>
      <c r="R11" s="35">
        <v>39500</v>
      </c>
      <c r="S11" s="35">
        <v>1185</v>
      </c>
      <c r="T11" s="35">
        <v>38315</v>
      </c>
      <c r="U11" s="35">
        <v>45978</v>
      </c>
      <c r="V11" s="35">
        <v>84293</v>
      </c>
      <c r="Y11" s="40"/>
    </row>
    <row r="12" spans="1:25" x14ac:dyDescent="0.25">
      <c r="A12" s="32">
        <v>11</v>
      </c>
      <c r="B12" s="32" t="s">
        <v>64</v>
      </c>
      <c r="C12" s="32">
        <v>2026</v>
      </c>
      <c r="D12" s="33">
        <v>46027</v>
      </c>
      <c r="E12" s="32" t="s">
        <v>144</v>
      </c>
      <c r="F12" s="32" t="s">
        <v>135</v>
      </c>
      <c r="G12" s="40" t="s">
        <v>136</v>
      </c>
      <c r="H12" s="33">
        <v>46037</v>
      </c>
      <c r="I12"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12" s="32" t="s">
        <v>56</v>
      </c>
      <c r="K12" s="36" t="s">
        <v>133</v>
      </c>
      <c r="L12" s="32" t="s">
        <v>46</v>
      </c>
      <c r="M12" s="32" t="s">
        <v>65</v>
      </c>
      <c r="N12" s="32" t="s">
        <v>58</v>
      </c>
      <c r="O12" s="41">
        <v>0.03</v>
      </c>
      <c r="P12" s="41">
        <v>0.2</v>
      </c>
      <c r="Q12" s="41"/>
      <c r="R12" s="35">
        <v>39500</v>
      </c>
      <c r="S12" s="35">
        <v>1185</v>
      </c>
      <c r="T12" s="35">
        <v>38315</v>
      </c>
      <c r="U12" s="35">
        <v>45978</v>
      </c>
      <c r="V12" s="35">
        <v>84293</v>
      </c>
      <c r="Y12" s="40"/>
    </row>
    <row r="13" spans="1:25" x14ac:dyDescent="0.25">
      <c r="A13" s="32">
        <v>12</v>
      </c>
      <c r="B13" s="32" t="s">
        <v>64</v>
      </c>
      <c r="C13" s="32">
        <v>2026</v>
      </c>
      <c r="D13" s="33">
        <v>46027</v>
      </c>
      <c r="E13" s="32" t="s">
        <v>146</v>
      </c>
      <c r="F13" s="32" t="s">
        <v>135</v>
      </c>
      <c r="G13" s="40" t="s">
        <v>136</v>
      </c>
      <c r="H13" s="33">
        <v>46037</v>
      </c>
      <c r="I13"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13" s="32" t="s">
        <v>56</v>
      </c>
      <c r="K13" s="36" t="s">
        <v>122</v>
      </c>
      <c r="L13" s="32" t="s">
        <v>47</v>
      </c>
      <c r="M13" s="32" t="s">
        <v>52</v>
      </c>
      <c r="N13" s="32" t="s">
        <v>40</v>
      </c>
      <c r="O13" s="41">
        <v>0.05</v>
      </c>
      <c r="P13" s="41">
        <v>0.2</v>
      </c>
      <c r="Q13" s="41"/>
      <c r="R13" s="35">
        <v>39500</v>
      </c>
      <c r="S13" s="35">
        <v>1975</v>
      </c>
      <c r="T13" s="35">
        <v>37525</v>
      </c>
      <c r="U13" s="35">
        <v>45030</v>
      </c>
      <c r="V13" s="35">
        <v>82555</v>
      </c>
      <c r="Y13" s="40"/>
    </row>
    <row r="14" spans="1:25" x14ac:dyDescent="0.25">
      <c r="A14" s="32">
        <v>14</v>
      </c>
      <c r="B14" s="32" t="s">
        <v>64</v>
      </c>
      <c r="C14" s="32">
        <v>2026</v>
      </c>
      <c r="D14" s="33">
        <v>46027</v>
      </c>
      <c r="E14" s="32" t="s">
        <v>146</v>
      </c>
      <c r="F14" s="32" t="s">
        <v>135</v>
      </c>
      <c r="G14" s="40" t="s">
        <v>136</v>
      </c>
      <c r="H14" s="33">
        <v>46037</v>
      </c>
      <c r="I14"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14" s="32" t="s">
        <v>56</v>
      </c>
      <c r="K14" s="36" t="s">
        <v>115</v>
      </c>
      <c r="L14" s="32" t="s">
        <v>46</v>
      </c>
      <c r="M14" s="32" t="s">
        <v>65</v>
      </c>
      <c r="N14" s="32" t="s">
        <v>40</v>
      </c>
      <c r="O14" s="41">
        <v>7.0000000000000007E-2</v>
      </c>
      <c r="P14" s="41">
        <v>0.2</v>
      </c>
      <c r="Q14" s="41"/>
      <c r="R14" s="35">
        <v>31600</v>
      </c>
      <c r="S14" s="35">
        <v>2212</v>
      </c>
      <c r="T14" s="35">
        <v>29388</v>
      </c>
      <c r="U14" s="35">
        <v>35265.599999999999</v>
      </c>
      <c r="V14" s="35">
        <v>64653.599999999999</v>
      </c>
      <c r="Y14" s="40"/>
    </row>
    <row r="15" spans="1:25" x14ac:dyDescent="0.25">
      <c r="A15" s="32">
        <v>15</v>
      </c>
      <c r="B15" s="32" t="s">
        <v>64</v>
      </c>
      <c r="C15" s="32">
        <v>2026</v>
      </c>
      <c r="D15" s="33">
        <v>46030</v>
      </c>
      <c r="E15" s="32" t="s">
        <v>148</v>
      </c>
      <c r="F15" s="32" t="s">
        <v>135</v>
      </c>
      <c r="G15" s="40" t="s">
        <v>136</v>
      </c>
      <c r="H15" s="33">
        <v>46042</v>
      </c>
      <c r="I15"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6 Gün Kaldı</v>
      </c>
      <c r="J15" s="32" t="s">
        <v>57</v>
      </c>
      <c r="K15" s="36" t="s">
        <v>127</v>
      </c>
      <c r="L15" s="32" t="s">
        <v>46</v>
      </c>
      <c r="M15" s="32" t="s">
        <v>65</v>
      </c>
      <c r="N15" s="32" t="s">
        <v>40</v>
      </c>
      <c r="O15" s="41">
        <v>0</v>
      </c>
      <c r="P15" s="41">
        <v>0.2</v>
      </c>
      <c r="Q15" s="41"/>
      <c r="R15" s="35">
        <v>62500</v>
      </c>
      <c r="S15" s="35">
        <v>0</v>
      </c>
      <c r="T15" s="35">
        <v>62500</v>
      </c>
      <c r="U15" s="35">
        <v>75000</v>
      </c>
      <c r="V15" s="35">
        <v>137500</v>
      </c>
      <c r="Y15" s="40"/>
    </row>
    <row r="16" spans="1:25" x14ac:dyDescent="0.25">
      <c r="A16" s="32">
        <v>16</v>
      </c>
      <c r="B16" s="32" t="s">
        <v>64</v>
      </c>
      <c r="C16" s="32">
        <v>2026</v>
      </c>
      <c r="D16" s="33">
        <v>46030</v>
      </c>
      <c r="E16" s="32" t="s">
        <v>149</v>
      </c>
      <c r="F16" s="32" t="s">
        <v>135</v>
      </c>
      <c r="G16" s="40" t="s">
        <v>136</v>
      </c>
      <c r="H16" s="33">
        <v>46042</v>
      </c>
      <c r="I16"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6 Gün Kaldı</v>
      </c>
      <c r="J16" s="32" t="s">
        <v>57</v>
      </c>
      <c r="K16" s="36" t="s">
        <v>116</v>
      </c>
      <c r="L16" s="32" t="s">
        <v>48</v>
      </c>
      <c r="M16" s="32" t="s">
        <v>51</v>
      </c>
      <c r="N16" s="32" t="s">
        <v>40</v>
      </c>
      <c r="O16" s="41">
        <v>0</v>
      </c>
      <c r="P16" s="41">
        <v>0.2</v>
      </c>
      <c r="Q16" s="41"/>
      <c r="R16" s="35">
        <v>62500</v>
      </c>
      <c r="S16" s="35">
        <v>0</v>
      </c>
      <c r="T16" s="35">
        <v>62500</v>
      </c>
      <c r="U16" s="35">
        <v>75000</v>
      </c>
      <c r="V16" s="35">
        <v>137500</v>
      </c>
      <c r="Y16" s="40"/>
    </row>
    <row r="17" spans="1:25" x14ac:dyDescent="0.25">
      <c r="A17" s="32">
        <v>17</v>
      </c>
      <c r="B17" s="32" t="s">
        <v>64</v>
      </c>
      <c r="C17" s="32">
        <v>2026</v>
      </c>
      <c r="D17" s="33">
        <v>46031</v>
      </c>
      <c r="E17" s="32" t="s">
        <v>150</v>
      </c>
      <c r="F17" s="32" t="s">
        <v>135</v>
      </c>
      <c r="G17" s="40" t="s">
        <v>136</v>
      </c>
      <c r="H17" s="33">
        <v>46037</v>
      </c>
      <c r="I17"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17" s="32" t="s">
        <v>56</v>
      </c>
      <c r="K17" s="36" t="s">
        <v>126</v>
      </c>
      <c r="L17" s="32" t="s">
        <v>49</v>
      </c>
      <c r="M17" s="32" t="s">
        <v>52</v>
      </c>
      <c r="N17" s="32" t="s">
        <v>40</v>
      </c>
      <c r="O17" s="41">
        <v>0.05</v>
      </c>
      <c r="P17" s="41">
        <v>0.2</v>
      </c>
      <c r="Q17" s="41"/>
      <c r="R17" s="35">
        <v>16000</v>
      </c>
      <c r="S17" s="35">
        <v>800</v>
      </c>
      <c r="T17" s="35">
        <v>15200</v>
      </c>
      <c r="U17" s="35">
        <v>18240</v>
      </c>
      <c r="V17" s="35">
        <v>33440</v>
      </c>
      <c r="Y17" s="40"/>
    </row>
    <row r="18" spans="1:25" x14ac:dyDescent="0.25">
      <c r="A18" s="32">
        <v>18</v>
      </c>
      <c r="B18" s="32" t="s">
        <v>64</v>
      </c>
      <c r="C18" s="32">
        <v>2026</v>
      </c>
      <c r="D18" s="33">
        <v>46031</v>
      </c>
      <c r="E18" s="32" t="s">
        <v>150</v>
      </c>
      <c r="F18" s="32" t="s">
        <v>139</v>
      </c>
      <c r="G18" s="40" t="s">
        <v>136</v>
      </c>
      <c r="H18" s="33">
        <v>46037</v>
      </c>
      <c r="I18"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Sipariş İptal</v>
      </c>
      <c r="J18" s="32" t="s">
        <v>56</v>
      </c>
      <c r="K18" s="36" t="s">
        <v>126</v>
      </c>
      <c r="L18" s="32" t="s">
        <v>48</v>
      </c>
      <c r="M18" s="32" t="s">
        <v>53</v>
      </c>
      <c r="N18" s="32" t="s">
        <v>40</v>
      </c>
      <c r="O18" s="41">
        <v>7.0000000000000007E-2</v>
      </c>
      <c r="P18" s="41">
        <v>0.2</v>
      </c>
      <c r="Q18" s="41"/>
      <c r="R18" s="35">
        <v>34750</v>
      </c>
      <c r="S18" s="35">
        <v>2432.5000000000036</v>
      </c>
      <c r="T18" s="35">
        <v>32317.499999999996</v>
      </c>
      <c r="U18" s="35">
        <v>38781</v>
      </c>
      <c r="V18" s="35">
        <v>71098.5</v>
      </c>
      <c r="Y18" s="40"/>
    </row>
    <row r="19" spans="1:25" x14ac:dyDescent="0.25">
      <c r="A19" s="32">
        <v>19</v>
      </c>
      <c r="B19" s="32" t="s">
        <v>64</v>
      </c>
      <c r="C19" s="32">
        <v>2026</v>
      </c>
      <c r="D19" s="33">
        <v>46031</v>
      </c>
      <c r="E19" s="32" t="s">
        <v>150</v>
      </c>
      <c r="F19" s="32" t="s">
        <v>135</v>
      </c>
      <c r="G19" s="40" t="s">
        <v>136</v>
      </c>
      <c r="H19" s="33">
        <v>46037</v>
      </c>
      <c r="I19"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19" s="32" t="s">
        <v>56</v>
      </c>
      <c r="K19" s="36" t="s">
        <v>133</v>
      </c>
      <c r="L19" s="32" t="s">
        <v>46</v>
      </c>
      <c r="M19" s="32" t="s">
        <v>68</v>
      </c>
      <c r="N19" s="32" t="s">
        <v>40</v>
      </c>
      <c r="O19" s="41">
        <v>7.0000000000000007E-2</v>
      </c>
      <c r="P19" s="41">
        <v>0.2</v>
      </c>
      <c r="Q19" s="41"/>
      <c r="R19" s="35">
        <v>34750</v>
      </c>
      <c r="S19" s="35">
        <v>2432.5000000000036</v>
      </c>
      <c r="T19" s="35">
        <v>32317.499999999996</v>
      </c>
      <c r="U19" s="35">
        <v>38781</v>
      </c>
      <c r="V19" s="35">
        <v>71098.5</v>
      </c>
      <c r="Y19" s="40"/>
    </row>
    <row r="20" spans="1:25" x14ac:dyDescent="0.25">
      <c r="A20" s="32">
        <v>20</v>
      </c>
      <c r="B20" s="32" t="s">
        <v>64</v>
      </c>
      <c r="C20" s="32">
        <v>2026</v>
      </c>
      <c r="D20" s="33">
        <v>46031</v>
      </c>
      <c r="E20" s="32" t="s">
        <v>151</v>
      </c>
      <c r="F20" s="32" t="s">
        <v>135</v>
      </c>
      <c r="G20" s="40" t="s">
        <v>136</v>
      </c>
      <c r="H20" s="33">
        <v>46037</v>
      </c>
      <c r="I20" s="32" t="str">
        <f ca="1">IF(Tablo1[[#This Row],[Durumu]]="Fatura Kesildi","Fatura Oluşturuldu",IF(Tablo1[[#This Row],[Durumu]]="İptal Edildi","Sipariş İptal",IF(Tablo1[[#This Row],[T.Bitiş Tarihi]]="","",IF(INT(Tablo1[[#This Row],[T.Bitiş Tarihi]])-TODAY()&lt;0,(INT(Tablo1[[#This Row],[T.Bitiş Tarihi]])-TODAY())&amp;" Süre Doldu",(INT(Tablo1[[#This Row],[T.Bitiş Tarihi]])-TODAY())&amp;" Gün Kaldı"))))</f>
        <v>1 Gün Kaldı</v>
      </c>
      <c r="J20" s="32" t="s">
        <v>56</v>
      </c>
      <c r="K20" s="36" t="s">
        <v>122</v>
      </c>
      <c r="L20" s="32" t="s">
        <v>46</v>
      </c>
      <c r="M20" s="32" t="s">
        <v>65</v>
      </c>
      <c r="N20" s="32"/>
      <c r="O20" s="41">
        <v>0.02</v>
      </c>
      <c r="P20" s="41">
        <v>0.2</v>
      </c>
      <c r="Q20" s="41"/>
      <c r="R20" s="35">
        <v>56500</v>
      </c>
      <c r="S20" s="35">
        <v>1130</v>
      </c>
      <c r="T20" s="35">
        <v>55370</v>
      </c>
      <c r="U20" s="35">
        <v>66444</v>
      </c>
      <c r="V20" s="35">
        <v>121814</v>
      </c>
      <c r="Y20" s="40"/>
    </row>
  </sheetData>
  <conditionalFormatting sqref="I2:I1048576">
    <cfRule type="expression" dxfId="78" priority="2">
      <formula>$I2="Sipariş İptal"</formula>
    </cfRule>
    <cfRule type="expression" dxfId="77" priority="3">
      <formula>AND(COUNTIF(I2,"*Gün Kaldı*")&gt;=0,--LEFT(I2,FIND(" Gün",I2)-1)&lt;=3,--LEFT(I2,FIND(" Gün",I2)-1)&gt;=0)</formula>
    </cfRule>
    <cfRule type="expression" dxfId="76" priority="5">
      <formula>COUNTIF(I2,"*Süre Doldu*")&gt;0</formula>
    </cfRule>
    <cfRule type="expression" dxfId="75" priority="6">
      <formula>$I2="Fatura Oluşturuldu"</formula>
    </cfRule>
  </conditionalFormatting>
  <conditionalFormatting sqref="M2:M1048576">
    <cfRule type="expression" dxfId="74" priority="1">
      <formula>$M2="Beklemede"</formula>
    </cfRule>
    <cfRule type="expression" dxfId="73" priority="4">
      <formula>$M2="Fatura Kesildi"</formula>
    </cfRule>
  </conditionalFormatting>
  <dataValidations count="3">
    <dataValidation type="list" allowBlank="1" showInputMessage="1" showErrorMessage="1" sqref="L1:L20" xr:uid="{7F8ED3BA-F73D-41C3-B898-D11BAD4AD78B}">
      <formula1>onemDerece</formula1>
    </dataValidation>
    <dataValidation type="list" allowBlank="1" showInputMessage="1" showErrorMessage="1" sqref="M1:M20" xr:uid="{2BCCEB8A-5268-43EC-A362-69A97A25E3E6}">
      <formula1>durum</formula1>
    </dataValidation>
    <dataValidation type="list" allowBlank="1" showInputMessage="1" showErrorMessage="1" sqref="N1:N20" xr:uid="{89142BBB-8F5D-49C8-A5DE-DE7FABDADDCB}">
      <formula1>paraBirimi</formula1>
    </dataValidation>
  </dataValidations>
  <hyperlinks>
    <hyperlink ref="G2" r:id="rId1" xr:uid="{FCF30644-B8B6-4CC0-A9AA-8104BC62E7F2}"/>
    <hyperlink ref="G3" r:id="rId2" xr:uid="{D8CEDF7D-D3B3-479F-B2CA-E0AC08A6ADCF}"/>
    <hyperlink ref="G4" r:id="rId3" xr:uid="{62CE9BC9-2131-4758-87D8-BC70370F46A8}"/>
    <hyperlink ref="G5" r:id="rId4" xr:uid="{B4A3CBF4-F5E3-46B9-91D8-5E2CE571E4D7}"/>
    <hyperlink ref="G6" r:id="rId5" xr:uid="{DF3F649D-2567-497D-B108-63DFC9EEB604}"/>
    <hyperlink ref="G7" r:id="rId6" xr:uid="{26EF1F1E-B638-485D-9A6A-C1A836A94EE0}"/>
    <hyperlink ref="G8" r:id="rId7" xr:uid="{E8BA4876-42C2-42D2-9F93-5DF53BA22DC0}"/>
    <hyperlink ref="G9" r:id="rId8" xr:uid="{89772FB3-38D0-44E8-A76D-99794ECD25F8}"/>
    <hyperlink ref="G11" r:id="rId9" xr:uid="{0AC9C917-24A3-4E61-BE93-CD0483F6F35F}"/>
    <hyperlink ref="G12" r:id="rId10" xr:uid="{BD5F9E05-2BF8-4C5C-A850-A9FCDB1C3395}"/>
    <hyperlink ref="G13" r:id="rId11" xr:uid="{18D78805-7E9C-40AD-A243-02B80F9C212F}"/>
    <hyperlink ref="G14" r:id="rId12" xr:uid="{0A3D6513-D429-4D80-B9B0-B0FFF8A2C4E6}"/>
    <hyperlink ref="G15" r:id="rId13" xr:uid="{2F31DCB7-BF59-4DBC-A580-F73B5DF56D91}"/>
    <hyperlink ref="G16" r:id="rId14" xr:uid="{2DD500ED-B1DA-48CC-A8B3-20B0F847771A}"/>
    <hyperlink ref="G17" r:id="rId15" xr:uid="{26E68F21-0B63-4785-83B1-AC97998E10D7}"/>
    <hyperlink ref="G18" r:id="rId16" xr:uid="{88DEFC37-5EE4-41E5-B0E5-236F1970086F}"/>
    <hyperlink ref="G19" r:id="rId17" xr:uid="{766ADD14-9689-4726-A6F7-02673A46F307}"/>
    <hyperlink ref="G10" r:id="rId18" xr:uid="{E270BBCC-98A0-4F69-B767-46F0FBB2AD1B}"/>
    <hyperlink ref="G20" r:id="rId19" xr:uid="{150FA00B-CAEE-4BFE-9E78-8B4F7B92F0B5}"/>
  </hyperlinks>
  <pageMargins left="0.7" right="0.7" top="0.75" bottom="0.75" header="0.3" footer="0.3"/>
  <tableParts count="1">
    <tablePart r:id="rId2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206A6-BA03-4456-BD66-3978E8DB1497}">
  <sheetPr codeName="Sayfa3"/>
  <dimension ref="A1:T81"/>
  <sheetViews>
    <sheetView topLeftCell="C1" zoomScaleNormal="100" workbookViewId="0">
      <pane ySplit="1" topLeftCell="A2" activePane="bottomLeft" state="frozen"/>
      <selection activeCell="G1" sqref="G1"/>
      <selection pane="bottomLeft" activeCell="T81" sqref="T81"/>
    </sheetView>
  </sheetViews>
  <sheetFormatPr defaultRowHeight="15" x14ac:dyDescent="0.25"/>
  <cols>
    <col min="1" max="1" width="7.5703125" style="32" customWidth="1"/>
    <col min="2" max="2" width="9.7109375" style="32" customWidth="1"/>
    <col min="3" max="3" width="9.140625" style="32"/>
    <col min="4" max="4" width="13.5703125" style="33" customWidth="1"/>
    <col min="5" max="5" width="16.5703125" style="32" customWidth="1"/>
    <col min="6" max="6" width="13.7109375" style="32" bestFit="1" customWidth="1"/>
    <col min="7" max="7" width="13.42578125" style="32" bestFit="1" customWidth="1"/>
    <col min="8" max="8" width="16.5703125" style="33" bestFit="1" customWidth="1"/>
    <col min="9" max="9" width="20.85546875" style="32" bestFit="1" customWidth="1"/>
    <col min="10" max="10" width="16" style="32" bestFit="1" customWidth="1"/>
    <col min="11" max="11" width="41.42578125" style="36" customWidth="1"/>
    <col min="12" max="12" width="44.42578125" style="36" customWidth="1"/>
    <col min="13" max="13" width="17.28515625" customWidth="1"/>
    <col min="14" max="14" width="15.28515625" bestFit="1" customWidth="1"/>
    <col min="15" max="15" width="13" customWidth="1"/>
    <col min="16" max="16" width="9.140625" style="32"/>
    <col min="17" max="17" width="12.5703125" style="35" customWidth="1"/>
    <col min="18" max="18" width="11.85546875" style="34" customWidth="1"/>
    <col min="19" max="19" width="27.85546875" style="35" customWidth="1"/>
    <col min="20" max="20" width="20.140625" style="35" customWidth="1"/>
  </cols>
  <sheetData>
    <row r="1" spans="1:20" ht="33" customHeight="1" x14ac:dyDescent="0.25">
      <c r="A1" s="37" t="s">
        <v>38</v>
      </c>
      <c r="B1" s="37" t="s">
        <v>0</v>
      </c>
      <c r="C1" s="37" t="s">
        <v>1</v>
      </c>
      <c r="D1" s="37" t="s">
        <v>2</v>
      </c>
      <c r="E1" s="37" t="s">
        <v>15</v>
      </c>
      <c r="F1" s="37" t="s">
        <v>28</v>
      </c>
      <c r="G1" s="37" t="s">
        <v>36</v>
      </c>
      <c r="H1" s="37" t="s">
        <v>3</v>
      </c>
      <c r="I1" s="37" t="s">
        <v>12</v>
      </c>
      <c r="J1" s="37" t="s">
        <v>8</v>
      </c>
      <c r="K1" s="37" t="s">
        <v>14</v>
      </c>
      <c r="L1" s="37" t="s">
        <v>13</v>
      </c>
      <c r="M1" s="37" t="s">
        <v>6</v>
      </c>
      <c r="N1" s="37" t="s">
        <v>7</v>
      </c>
      <c r="O1" s="37" t="s">
        <v>4</v>
      </c>
      <c r="P1" s="37" t="s">
        <v>5</v>
      </c>
      <c r="Q1" s="37" t="s">
        <v>10</v>
      </c>
      <c r="R1" s="37" t="s">
        <v>71</v>
      </c>
      <c r="S1" s="37" t="s">
        <v>72</v>
      </c>
      <c r="T1" s="37" t="s">
        <v>45</v>
      </c>
    </row>
    <row r="2" spans="1:20" x14ac:dyDescent="0.25">
      <c r="A2" s="32">
        <v>1</v>
      </c>
      <c r="B2" s="32" t="s">
        <v>64</v>
      </c>
      <c r="C2" s="32">
        <v>2025</v>
      </c>
      <c r="D2" s="33">
        <v>45665</v>
      </c>
      <c r="E2" s="32" t="s">
        <v>134</v>
      </c>
      <c r="F2" s="32" t="s">
        <v>135</v>
      </c>
      <c r="G2" s="40" t="s">
        <v>136</v>
      </c>
      <c r="H2" s="33">
        <v>45670</v>
      </c>
      <c r="J2" s="32" t="s">
        <v>81</v>
      </c>
      <c r="K2" s="36" t="s">
        <v>128</v>
      </c>
      <c r="L2" s="36" t="s">
        <v>117</v>
      </c>
      <c r="M2" s="32" t="s">
        <v>46</v>
      </c>
      <c r="N2" s="32" t="s">
        <v>83</v>
      </c>
      <c r="O2" s="35" t="s">
        <v>58</v>
      </c>
      <c r="P2" s="32">
        <v>15</v>
      </c>
      <c r="Q2" s="35">
        <v>40</v>
      </c>
      <c r="R2" s="41">
        <v>0.02</v>
      </c>
      <c r="S2" s="35">
        <v>588</v>
      </c>
      <c r="T2" s="35">
        <v>600</v>
      </c>
    </row>
    <row r="3" spans="1:20" x14ac:dyDescent="0.25">
      <c r="A3" s="32">
        <v>2</v>
      </c>
      <c r="B3" s="32" t="s">
        <v>64</v>
      </c>
      <c r="C3" s="32">
        <v>2025</v>
      </c>
      <c r="D3" s="33">
        <v>45665</v>
      </c>
      <c r="E3" s="32" t="s">
        <v>134</v>
      </c>
      <c r="F3" s="32" t="s">
        <v>135</v>
      </c>
      <c r="G3" s="40" t="s">
        <v>136</v>
      </c>
      <c r="H3" s="33">
        <v>45670</v>
      </c>
      <c r="J3" s="32" t="s">
        <v>81</v>
      </c>
      <c r="K3" s="36" t="s">
        <v>130</v>
      </c>
      <c r="L3" s="36" t="s">
        <v>117</v>
      </c>
      <c r="M3" s="32" t="s">
        <v>46</v>
      </c>
      <c r="N3" s="32" t="s">
        <v>85</v>
      </c>
      <c r="O3" s="35" t="s">
        <v>58</v>
      </c>
      <c r="P3" s="32">
        <v>60</v>
      </c>
      <c r="Q3" s="35">
        <v>15</v>
      </c>
      <c r="R3" s="41">
        <v>0.02</v>
      </c>
      <c r="S3" s="35">
        <v>882</v>
      </c>
      <c r="T3" s="35">
        <v>900</v>
      </c>
    </row>
    <row r="4" spans="1:20" x14ac:dyDescent="0.25">
      <c r="A4" s="32">
        <v>3</v>
      </c>
      <c r="B4" s="32" t="s">
        <v>64</v>
      </c>
      <c r="C4" s="32">
        <v>2025</v>
      </c>
      <c r="D4" s="33">
        <v>45665</v>
      </c>
      <c r="E4" s="32" t="s">
        <v>134</v>
      </c>
      <c r="F4" s="32" t="s">
        <v>135</v>
      </c>
      <c r="G4" s="40" t="s">
        <v>136</v>
      </c>
      <c r="H4" s="33">
        <v>45670</v>
      </c>
      <c r="J4" s="32" t="s">
        <v>81</v>
      </c>
      <c r="K4" s="36" t="s">
        <v>129</v>
      </c>
      <c r="L4" s="36" t="s">
        <v>117</v>
      </c>
      <c r="M4" s="32" t="s">
        <v>46</v>
      </c>
      <c r="N4" s="32" t="s">
        <v>84</v>
      </c>
      <c r="O4" s="35" t="s">
        <v>58</v>
      </c>
      <c r="P4" s="32">
        <v>25</v>
      </c>
      <c r="Q4" s="35">
        <v>20</v>
      </c>
      <c r="R4" s="41">
        <v>0.02</v>
      </c>
      <c r="S4" s="35">
        <v>490</v>
      </c>
      <c r="T4" s="35">
        <v>500</v>
      </c>
    </row>
    <row r="5" spans="1:20" x14ac:dyDescent="0.25">
      <c r="A5" s="32">
        <v>4</v>
      </c>
      <c r="B5" s="32" t="s">
        <v>64</v>
      </c>
      <c r="C5" s="32">
        <v>2025</v>
      </c>
      <c r="D5" s="33">
        <v>45665</v>
      </c>
      <c r="E5" s="32" t="s">
        <v>134</v>
      </c>
      <c r="F5" s="32" t="s">
        <v>135</v>
      </c>
      <c r="G5" s="40" t="s">
        <v>136</v>
      </c>
      <c r="H5" s="33">
        <v>45670</v>
      </c>
      <c r="J5" s="32" t="s">
        <v>81</v>
      </c>
      <c r="K5" s="36" t="s">
        <v>131</v>
      </c>
      <c r="L5" s="36" t="s">
        <v>117</v>
      </c>
      <c r="M5" s="32" t="s">
        <v>46</v>
      </c>
      <c r="N5" s="32" t="s">
        <v>82</v>
      </c>
      <c r="O5" s="35" t="s">
        <v>58</v>
      </c>
      <c r="P5" s="32">
        <v>30</v>
      </c>
      <c r="Q5" s="35">
        <v>40</v>
      </c>
      <c r="R5" s="41">
        <v>0.02</v>
      </c>
      <c r="S5" s="35">
        <v>1176</v>
      </c>
      <c r="T5" s="35">
        <v>1200</v>
      </c>
    </row>
    <row r="6" spans="1:20" x14ac:dyDescent="0.25">
      <c r="A6" s="32">
        <v>5</v>
      </c>
      <c r="B6" s="32" t="s">
        <v>64</v>
      </c>
      <c r="C6" s="32">
        <v>2025</v>
      </c>
      <c r="D6" s="33">
        <v>45665</v>
      </c>
      <c r="E6" s="32" t="s">
        <v>134</v>
      </c>
      <c r="F6" s="32" t="s">
        <v>135</v>
      </c>
      <c r="G6" s="40" t="s">
        <v>136</v>
      </c>
      <c r="H6" s="33">
        <v>45670</v>
      </c>
      <c r="J6" s="32" t="s">
        <v>81</v>
      </c>
      <c r="K6" s="36" t="s">
        <v>132</v>
      </c>
      <c r="L6" s="36" t="s">
        <v>117</v>
      </c>
      <c r="M6" s="32" t="s">
        <v>46</v>
      </c>
      <c r="N6" s="32" t="s">
        <v>65</v>
      </c>
      <c r="O6" s="35" t="s">
        <v>58</v>
      </c>
      <c r="P6" s="32">
        <v>250</v>
      </c>
      <c r="Q6" s="35">
        <v>70</v>
      </c>
      <c r="R6" s="41">
        <v>0.02</v>
      </c>
      <c r="S6" s="35">
        <v>17150</v>
      </c>
      <c r="T6" s="35">
        <v>17500</v>
      </c>
    </row>
    <row r="7" spans="1:20" x14ac:dyDescent="0.25">
      <c r="A7" s="32">
        <v>6</v>
      </c>
      <c r="B7" s="32" t="s">
        <v>64</v>
      </c>
      <c r="C7" s="32">
        <v>2025</v>
      </c>
      <c r="D7" s="33">
        <v>45665</v>
      </c>
      <c r="E7" s="32" t="s">
        <v>137</v>
      </c>
      <c r="F7" s="32" t="s">
        <v>135</v>
      </c>
      <c r="G7" s="40" t="s">
        <v>136</v>
      </c>
      <c r="H7" s="33">
        <v>45677</v>
      </c>
      <c r="J7" s="32" t="s">
        <v>81</v>
      </c>
      <c r="K7" s="36" t="s">
        <v>128</v>
      </c>
      <c r="L7" s="36" t="s">
        <v>115</v>
      </c>
      <c r="M7" s="32" t="s">
        <v>46</v>
      </c>
      <c r="N7" s="32" t="s">
        <v>82</v>
      </c>
      <c r="O7" s="35" t="s">
        <v>58</v>
      </c>
      <c r="P7" s="32">
        <v>15</v>
      </c>
      <c r="Q7" s="35">
        <v>40</v>
      </c>
      <c r="R7" s="41">
        <v>0.02</v>
      </c>
      <c r="S7" s="35">
        <v>588</v>
      </c>
      <c r="T7" s="35">
        <v>600</v>
      </c>
    </row>
    <row r="8" spans="1:20" x14ac:dyDescent="0.25">
      <c r="A8" s="32">
        <v>7</v>
      </c>
      <c r="B8" s="32" t="s">
        <v>64</v>
      </c>
      <c r="C8" s="32">
        <v>2025</v>
      </c>
      <c r="D8" s="33">
        <v>45665</v>
      </c>
      <c r="E8" s="32" t="s">
        <v>137</v>
      </c>
      <c r="F8" s="32" t="s">
        <v>135</v>
      </c>
      <c r="G8" s="40" t="s">
        <v>136</v>
      </c>
      <c r="H8" s="33">
        <v>45677</v>
      </c>
      <c r="J8" s="32" t="s">
        <v>81</v>
      </c>
      <c r="K8" s="36" t="s">
        <v>130</v>
      </c>
      <c r="L8" s="36" t="s">
        <v>115</v>
      </c>
      <c r="M8" s="32" t="s">
        <v>46</v>
      </c>
      <c r="N8" s="32" t="s">
        <v>65</v>
      </c>
      <c r="O8" s="35" t="s">
        <v>58</v>
      </c>
      <c r="P8" s="32">
        <v>60</v>
      </c>
      <c r="Q8" s="35">
        <v>15</v>
      </c>
      <c r="R8" s="41">
        <v>0.02</v>
      </c>
      <c r="S8" s="35">
        <v>882</v>
      </c>
      <c r="T8" s="35">
        <v>900</v>
      </c>
    </row>
    <row r="9" spans="1:20" x14ac:dyDescent="0.25">
      <c r="A9" s="32">
        <v>8</v>
      </c>
      <c r="B9" s="32" t="s">
        <v>64</v>
      </c>
      <c r="C9" s="32">
        <v>2025</v>
      </c>
      <c r="D9" s="33">
        <v>45665</v>
      </c>
      <c r="E9" s="32" t="s">
        <v>137</v>
      </c>
      <c r="F9" s="32" t="s">
        <v>135</v>
      </c>
      <c r="G9" s="40" t="s">
        <v>136</v>
      </c>
      <c r="H9" s="33">
        <v>45677</v>
      </c>
      <c r="J9" s="32" t="s">
        <v>81</v>
      </c>
      <c r="K9" s="36" t="s">
        <v>129</v>
      </c>
      <c r="L9" s="36" t="s">
        <v>115</v>
      </c>
      <c r="M9" s="32" t="s">
        <v>46</v>
      </c>
      <c r="N9" s="32" t="s">
        <v>82</v>
      </c>
      <c r="O9" s="35" t="s">
        <v>58</v>
      </c>
      <c r="P9" s="32">
        <v>25</v>
      </c>
      <c r="Q9" s="35">
        <v>20</v>
      </c>
      <c r="R9" s="41">
        <v>0.02</v>
      </c>
      <c r="S9" s="35">
        <v>490</v>
      </c>
      <c r="T9" s="35">
        <v>500</v>
      </c>
    </row>
    <row r="10" spans="1:20" x14ac:dyDescent="0.25">
      <c r="A10" s="32">
        <v>9</v>
      </c>
      <c r="B10" s="32" t="s">
        <v>64</v>
      </c>
      <c r="C10" s="32">
        <v>2025</v>
      </c>
      <c r="D10" s="33">
        <v>45665</v>
      </c>
      <c r="E10" s="32" t="s">
        <v>137</v>
      </c>
      <c r="F10" s="32" t="s">
        <v>135</v>
      </c>
      <c r="G10" s="40" t="s">
        <v>136</v>
      </c>
      <c r="H10" s="33">
        <v>45677</v>
      </c>
      <c r="J10" s="32" t="s">
        <v>81</v>
      </c>
      <c r="K10" s="36" t="s">
        <v>131</v>
      </c>
      <c r="L10" s="36" t="s">
        <v>115</v>
      </c>
      <c r="M10" s="32" t="s">
        <v>46</v>
      </c>
      <c r="N10" s="32" t="s">
        <v>65</v>
      </c>
      <c r="O10" s="35" t="s">
        <v>58</v>
      </c>
      <c r="P10" s="32">
        <v>30</v>
      </c>
      <c r="Q10" s="35">
        <v>40</v>
      </c>
      <c r="R10" s="41">
        <v>0.02</v>
      </c>
      <c r="S10" s="35">
        <v>1176</v>
      </c>
      <c r="T10" s="35">
        <v>1200</v>
      </c>
    </row>
    <row r="11" spans="1:20" x14ac:dyDescent="0.25">
      <c r="A11" s="32">
        <v>10</v>
      </c>
      <c r="B11" s="32" t="s">
        <v>64</v>
      </c>
      <c r="C11" s="32">
        <v>2025</v>
      </c>
      <c r="D11" s="33">
        <v>45665</v>
      </c>
      <c r="E11" s="32" t="s">
        <v>137</v>
      </c>
      <c r="F11" s="32" t="s">
        <v>135</v>
      </c>
      <c r="G11" s="40" t="s">
        <v>136</v>
      </c>
      <c r="H11" s="33">
        <v>45677</v>
      </c>
      <c r="J11" s="32" t="s">
        <v>81</v>
      </c>
      <c r="K11" s="36" t="s">
        <v>132</v>
      </c>
      <c r="L11" s="36" t="s">
        <v>115</v>
      </c>
      <c r="M11" s="32" t="s">
        <v>46</v>
      </c>
      <c r="N11" s="32" t="s">
        <v>65</v>
      </c>
      <c r="O11" s="35" t="s">
        <v>58</v>
      </c>
      <c r="P11" s="32">
        <v>250</v>
      </c>
      <c r="Q11" s="35">
        <v>70</v>
      </c>
      <c r="R11" s="41">
        <v>0.02</v>
      </c>
      <c r="S11" s="35">
        <v>17150</v>
      </c>
      <c r="T11" s="35">
        <v>17500</v>
      </c>
    </row>
    <row r="12" spans="1:20" x14ac:dyDescent="0.25">
      <c r="A12" s="32">
        <v>11</v>
      </c>
      <c r="B12" s="32" t="s">
        <v>100</v>
      </c>
      <c r="C12" s="32">
        <v>2025</v>
      </c>
      <c r="D12" s="33">
        <v>45999</v>
      </c>
      <c r="E12" s="32" t="s">
        <v>138</v>
      </c>
      <c r="F12" s="32" t="s">
        <v>135</v>
      </c>
      <c r="G12" s="40" t="s">
        <v>136</v>
      </c>
      <c r="H12" s="33">
        <v>46011</v>
      </c>
      <c r="J12" s="32" t="s">
        <v>81</v>
      </c>
      <c r="K12" s="36" t="s">
        <v>128</v>
      </c>
      <c r="L12" s="36" t="s">
        <v>116</v>
      </c>
      <c r="M12" s="32" t="s">
        <v>46</v>
      </c>
      <c r="N12" s="32" t="s">
        <v>65</v>
      </c>
      <c r="O12" s="35" t="s">
        <v>58</v>
      </c>
      <c r="P12" s="32">
        <v>15</v>
      </c>
      <c r="Q12" s="35">
        <v>40</v>
      </c>
      <c r="R12" s="41">
        <v>0</v>
      </c>
      <c r="S12" s="35">
        <v>0</v>
      </c>
      <c r="T12" s="35">
        <v>600</v>
      </c>
    </row>
    <row r="13" spans="1:20" x14ac:dyDescent="0.25">
      <c r="A13" s="32">
        <v>12</v>
      </c>
      <c r="B13" s="32" t="s">
        <v>100</v>
      </c>
      <c r="C13" s="32">
        <v>2025</v>
      </c>
      <c r="D13" s="33">
        <v>45999</v>
      </c>
      <c r="E13" s="32" t="s">
        <v>138</v>
      </c>
      <c r="F13" s="32" t="s">
        <v>135</v>
      </c>
      <c r="G13" s="40" t="s">
        <v>136</v>
      </c>
      <c r="H13" s="33">
        <v>46011</v>
      </c>
      <c r="J13" s="32" t="s">
        <v>81</v>
      </c>
      <c r="K13" s="36" t="s">
        <v>130</v>
      </c>
      <c r="L13" s="36" t="s">
        <v>116</v>
      </c>
      <c r="M13" s="32" t="s">
        <v>46</v>
      </c>
      <c r="N13" s="32" t="s">
        <v>65</v>
      </c>
      <c r="O13" s="35" t="s">
        <v>58</v>
      </c>
      <c r="P13" s="32">
        <v>70</v>
      </c>
      <c r="Q13" s="35">
        <v>15</v>
      </c>
      <c r="R13" s="41">
        <v>0</v>
      </c>
      <c r="S13" s="35">
        <v>0</v>
      </c>
      <c r="T13" s="35">
        <v>1050</v>
      </c>
    </row>
    <row r="14" spans="1:20" x14ac:dyDescent="0.25">
      <c r="A14" s="32">
        <v>13</v>
      </c>
      <c r="B14" s="32" t="s">
        <v>100</v>
      </c>
      <c r="C14" s="32">
        <v>2025</v>
      </c>
      <c r="D14" s="33">
        <v>45999</v>
      </c>
      <c r="E14" s="32" t="s">
        <v>138</v>
      </c>
      <c r="F14" s="32" t="s">
        <v>135</v>
      </c>
      <c r="G14" s="40" t="s">
        <v>136</v>
      </c>
      <c r="H14" s="33">
        <v>46011</v>
      </c>
      <c r="J14" s="32" t="s">
        <v>81</v>
      </c>
      <c r="K14" s="36" t="s">
        <v>129</v>
      </c>
      <c r="L14" s="36" t="s">
        <v>116</v>
      </c>
      <c r="M14" s="32" t="s">
        <v>46</v>
      </c>
      <c r="N14" s="32" t="s">
        <v>65</v>
      </c>
      <c r="O14" s="35" t="s">
        <v>58</v>
      </c>
      <c r="P14" s="32">
        <v>500</v>
      </c>
      <c r="Q14" s="35">
        <v>20</v>
      </c>
      <c r="R14" s="41">
        <v>0</v>
      </c>
      <c r="S14" s="35">
        <v>0</v>
      </c>
      <c r="T14" s="35">
        <v>10000</v>
      </c>
    </row>
    <row r="15" spans="1:20" x14ac:dyDescent="0.25">
      <c r="A15" s="32">
        <v>14</v>
      </c>
      <c r="B15" s="32" t="s">
        <v>100</v>
      </c>
      <c r="C15" s="32">
        <v>2025</v>
      </c>
      <c r="D15" s="33">
        <v>45999</v>
      </c>
      <c r="E15" s="32" t="s">
        <v>138</v>
      </c>
      <c r="F15" s="32" t="s">
        <v>135</v>
      </c>
      <c r="G15" s="40" t="s">
        <v>136</v>
      </c>
      <c r="H15" s="33">
        <v>46011</v>
      </c>
      <c r="J15" s="32" t="s">
        <v>81</v>
      </c>
      <c r="K15" s="36" t="s">
        <v>131</v>
      </c>
      <c r="L15" s="36" t="s">
        <v>116</v>
      </c>
      <c r="M15" s="32" t="s">
        <v>46</v>
      </c>
      <c r="N15" s="32" t="s">
        <v>65</v>
      </c>
      <c r="O15" s="35" t="s">
        <v>58</v>
      </c>
      <c r="P15" s="32">
        <v>30</v>
      </c>
      <c r="Q15" s="35">
        <v>40</v>
      </c>
      <c r="R15" s="41">
        <v>0</v>
      </c>
      <c r="S15" s="35">
        <v>0</v>
      </c>
      <c r="T15" s="35">
        <v>1200</v>
      </c>
    </row>
    <row r="16" spans="1:20" x14ac:dyDescent="0.25">
      <c r="A16" s="32">
        <v>15</v>
      </c>
      <c r="B16" s="32" t="s">
        <v>100</v>
      </c>
      <c r="C16" s="32">
        <v>2025</v>
      </c>
      <c r="D16" s="33">
        <v>45999</v>
      </c>
      <c r="E16" s="32" t="s">
        <v>138</v>
      </c>
      <c r="F16" s="32" t="s">
        <v>135</v>
      </c>
      <c r="G16" s="40" t="s">
        <v>136</v>
      </c>
      <c r="H16" s="33">
        <v>46011</v>
      </c>
      <c r="J16" s="32" t="s">
        <v>81</v>
      </c>
      <c r="K16" s="36" t="s">
        <v>132</v>
      </c>
      <c r="L16" s="36" t="s">
        <v>116</v>
      </c>
      <c r="M16" s="32" t="s">
        <v>46</v>
      </c>
      <c r="N16" s="32" t="s">
        <v>82</v>
      </c>
      <c r="O16" s="35" t="s">
        <v>58</v>
      </c>
      <c r="P16" s="32">
        <v>250</v>
      </c>
      <c r="Q16" s="35">
        <v>70</v>
      </c>
      <c r="R16" s="41">
        <v>0</v>
      </c>
      <c r="S16" s="35">
        <v>0</v>
      </c>
      <c r="T16" s="35">
        <v>17500</v>
      </c>
    </row>
    <row r="17" spans="1:20" x14ac:dyDescent="0.25">
      <c r="A17" s="32">
        <v>16</v>
      </c>
      <c r="B17" s="32" t="s">
        <v>100</v>
      </c>
      <c r="C17" s="32">
        <v>2025</v>
      </c>
      <c r="D17" s="33">
        <v>45999</v>
      </c>
      <c r="E17" s="32" t="s">
        <v>138</v>
      </c>
      <c r="F17" s="32" t="s">
        <v>139</v>
      </c>
      <c r="G17" s="40" t="s">
        <v>136</v>
      </c>
      <c r="H17" s="33">
        <v>46011</v>
      </c>
      <c r="J17" s="32" t="s">
        <v>81</v>
      </c>
      <c r="K17" s="36" t="s">
        <v>128</v>
      </c>
      <c r="L17" s="36" t="s">
        <v>116</v>
      </c>
      <c r="M17" s="32" t="s">
        <v>46</v>
      </c>
      <c r="N17" s="32" t="s">
        <v>65</v>
      </c>
      <c r="O17" s="35" t="s">
        <v>58</v>
      </c>
      <c r="P17" s="32">
        <v>15</v>
      </c>
      <c r="Q17" s="35">
        <v>40</v>
      </c>
      <c r="R17" s="41">
        <v>0</v>
      </c>
      <c r="S17" s="35">
        <v>0</v>
      </c>
      <c r="T17" s="35">
        <v>600</v>
      </c>
    </row>
    <row r="18" spans="1:20" x14ac:dyDescent="0.25">
      <c r="A18" s="32">
        <v>17</v>
      </c>
      <c r="B18" s="32" t="s">
        <v>100</v>
      </c>
      <c r="C18" s="32">
        <v>2025</v>
      </c>
      <c r="D18" s="33">
        <v>45999</v>
      </c>
      <c r="E18" s="32" t="s">
        <v>138</v>
      </c>
      <c r="F18" s="32" t="s">
        <v>139</v>
      </c>
      <c r="G18" s="40" t="s">
        <v>136</v>
      </c>
      <c r="H18" s="33">
        <v>46011</v>
      </c>
      <c r="J18" s="32" t="s">
        <v>81</v>
      </c>
      <c r="K18" s="36" t="s">
        <v>130</v>
      </c>
      <c r="L18" s="36" t="s">
        <v>116</v>
      </c>
      <c r="M18" s="32" t="s">
        <v>46</v>
      </c>
      <c r="N18" s="32" t="s">
        <v>65</v>
      </c>
      <c r="O18" s="35" t="s">
        <v>58</v>
      </c>
      <c r="P18" s="32">
        <v>70</v>
      </c>
      <c r="Q18" s="35">
        <v>100</v>
      </c>
      <c r="R18" s="41">
        <v>0</v>
      </c>
      <c r="S18" s="35">
        <v>0</v>
      </c>
      <c r="T18" s="35">
        <v>7000</v>
      </c>
    </row>
    <row r="19" spans="1:20" x14ac:dyDescent="0.25">
      <c r="A19" s="32">
        <v>18</v>
      </c>
      <c r="B19" s="32" t="s">
        <v>100</v>
      </c>
      <c r="C19" s="32">
        <v>2025</v>
      </c>
      <c r="D19" s="33">
        <v>45999</v>
      </c>
      <c r="E19" s="32" t="s">
        <v>138</v>
      </c>
      <c r="F19" s="32" t="s">
        <v>139</v>
      </c>
      <c r="G19" s="40" t="s">
        <v>136</v>
      </c>
      <c r="H19" s="33">
        <v>46011</v>
      </c>
      <c r="J19" s="32" t="s">
        <v>81</v>
      </c>
      <c r="K19" s="36" t="s">
        <v>129</v>
      </c>
      <c r="L19" s="36" t="s">
        <v>116</v>
      </c>
      <c r="M19" s="32" t="s">
        <v>46</v>
      </c>
      <c r="N19" s="32" t="s">
        <v>65</v>
      </c>
      <c r="O19" s="35" t="s">
        <v>58</v>
      </c>
      <c r="P19" s="32">
        <v>500</v>
      </c>
      <c r="Q19" s="35">
        <v>20</v>
      </c>
      <c r="R19" s="41">
        <v>0</v>
      </c>
      <c r="S19" s="35">
        <v>0</v>
      </c>
      <c r="T19" s="35">
        <v>10000</v>
      </c>
    </row>
    <row r="20" spans="1:20" x14ac:dyDescent="0.25">
      <c r="A20" s="32">
        <v>19</v>
      </c>
      <c r="B20" s="32" t="s">
        <v>100</v>
      </c>
      <c r="C20" s="32">
        <v>2025</v>
      </c>
      <c r="D20" s="33">
        <v>45999</v>
      </c>
      <c r="E20" s="32" t="s">
        <v>138</v>
      </c>
      <c r="F20" s="32" t="s">
        <v>139</v>
      </c>
      <c r="G20" s="40" t="s">
        <v>136</v>
      </c>
      <c r="H20" s="33">
        <v>46011</v>
      </c>
      <c r="J20" s="32" t="s">
        <v>81</v>
      </c>
      <c r="K20" s="36" t="s">
        <v>131</v>
      </c>
      <c r="L20" s="36" t="s">
        <v>116</v>
      </c>
      <c r="M20" s="32" t="s">
        <v>46</v>
      </c>
      <c r="N20" s="32" t="s">
        <v>65</v>
      </c>
      <c r="O20" s="35" t="s">
        <v>58</v>
      </c>
      <c r="P20" s="32">
        <v>30</v>
      </c>
      <c r="Q20" s="35">
        <v>40</v>
      </c>
      <c r="R20" s="41">
        <v>0</v>
      </c>
      <c r="S20" s="35">
        <v>0</v>
      </c>
      <c r="T20" s="35">
        <v>1200</v>
      </c>
    </row>
    <row r="21" spans="1:20" x14ac:dyDescent="0.25">
      <c r="A21" s="32">
        <v>20</v>
      </c>
      <c r="B21" s="32" t="s">
        <v>100</v>
      </c>
      <c r="C21" s="32">
        <v>2025</v>
      </c>
      <c r="D21" s="33">
        <v>45999</v>
      </c>
      <c r="E21" s="32" t="s">
        <v>138</v>
      </c>
      <c r="F21" s="32" t="s">
        <v>139</v>
      </c>
      <c r="G21" s="40" t="s">
        <v>136</v>
      </c>
      <c r="H21" s="33">
        <v>46011</v>
      </c>
      <c r="J21" s="32" t="s">
        <v>81</v>
      </c>
      <c r="K21" s="36" t="s">
        <v>132</v>
      </c>
      <c r="L21" s="36" t="s">
        <v>116</v>
      </c>
      <c r="M21" s="32" t="s">
        <v>46</v>
      </c>
      <c r="N21" s="32" t="s">
        <v>85</v>
      </c>
      <c r="O21" s="35" t="s">
        <v>58</v>
      </c>
      <c r="P21" s="32">
        <v>250</v>
      </c>
      <c r="Q21" s="35">
        <v>70</v>
      </c>
      <c r="R21" s="41">
        <v>0</v>
      </c>
      <c r="S21" s="35">
        <v>0</v>
      </c>
      <c r="T21" s="35">
        <v>17500</v>
      </c>
    </row>
    <row r="22" spans="1:20" x14ac:dyDescent="0.25">
      <c r="A22" s="32">
        <v>21</v>
      </c>
      <c r="B22" s="32" t="s">
        <v>64</v>
      </c>
      <c r="C22" s="32">
        <v>2026</v>
      </c>
      <c r="D22" s="33">
        <v>46030</v>
      </c>
      <c r="E22" s="32" t="s">
        <v>140</v>
      </c>
      <c r="F22" s="32" t="s">
        <v>135</v>
      </c>
      <c r="G22" s="40" t="s">
        <v>136</v>
      </c>
      <c r="H22" s="33">
        <v>46037</v>
      </c>
      <c r="J22" s="32" t="s">
        <v>81</v>
      </c>
      <c r="K22" s="36" t="s">
        <v>128</v>
      </c>
      <c r="L22" s="36" t="s">
        <v>123</v>
      </c>
      <c r="M22" s="32" t="s">
        <v>46</v>
      </c>
      <c r="N22" s="32" t="s">
        <v>65</v>
      </c>
      <c r="O22" s="35" t="s">
        <v>58</v>
      </c>
      <c r="P22" s="32">
        <v>15</v>
      </c>
      <c r="Q22" s="35">
        <v>40</v>
      </c>
      <c r="R22" s="41">
        <v>0</v>
      </c>
      <c r="S22" s="35">
        <v>0</v>
      </c>
      <c r="T22" s="35">
        <v>600</v>
      </c>
    </row>
    <row r="23" spans="1:20" x14ac:dyDescent="0.25">
      <c r="A23" s="32">
        <v>22</v>
      </c>
      <c r="B23" s="32" t="s">
        <v>64</v>
      </c>
      <c r="C23" s="32">
        <v>2026</v>
      </c>
      <c r="D23" s="33">
        <v>46030</v>
      </c>
      <c r="E23" s="32" t="s">
        <v>140</v>
      </c>
      <c r="F23" s="32" t="s">
        <v>135</v>
      </c>
      <c r="G23" s="40" t="s">
        <v>136</v>
      </c>
      <c r="H23" s="33">
        <v>46037</v>
      </c>
      <c r="J23" s="32" t="s">
        <v>81</v>
      </c>
      <c r="K23" s="36" t="s">
        <v>130</v>
      </c>
      <c r="L23" s="36" t="s">
        <v>123</v>
      </c>
      <c r="M23" s="32" t="s">
        <v>46</v>
      </c>
      <c r="N23" s="32" t="s">
        <v>83</v>
      </c>
      <c r="O23" s="35" t="s">
        <v>58</v>
      </c>
      <c r="P23" s="32">
        <v>70</v>
      </c>
      <c r="Q23" s="35">
        <v>100</v>
      </c>
      <c r="R23" s="41">
        <v>0</v>
      </c>
      <c r="S23" s="35">
        <v>0</v>
      </c>
      <c r="T23" s="35">
        <v>7000</v>
      </c>
    </row>
    <row r="24" spans="1:20" x14ac:dyDescent="0.25">
      <c r="A24" s="32">
        <v>23</v>
      </c>
      <c r="B24" s="32" t="s">
        <v>64</v>
      </c>
      <c r="C24" s="32">
        <v>2026</v>
      </c>
      <c r="D24" s="33">
        <v>46030</v>
      </c>
      <c r="E24" s="32" t="s">
        <v>140</v>
      </c>
      <c r="F24" s="32" t="s">
        <v>135</v>
      </c>
      <c r="G24" s="40" t="s">
        <v>136</v>
      </c>
      <c r="H24" s="33">
        <v>46037</v>
      </c>
      <c r="J24" s="32" t="s">
        <v>81</v>
      </c>
      <c r="K24" s="36" t="s">
        <v>129</v>
      </c>
      <c r="L24" s="36" t="s">
        <v>123</v>
      </c>
      <c r="M24" s="32" t="s">
        <v>46</v>
      </c>
      <c r="N24" s="32" t="s">
        <v>65</v>
      </c>
      <c r="O24" s="35" t="s">
        <v>58</v>
      </c>
      <c r="P24" s="32">
        <v>500</v>
      </c>
      <c r="Q24" s="35">
        <v>20</v>
      </c>
      <c r="R24" s="41">
        <v>0</v>
      </c>
      <c r="S24" s="35">
        <v>0</v>
      </c>
      <c r="T24" s="35">
        <v>10000</v>
      </c>
    </row>
    <row r="25" spans="1:20" x14ac:dyDescent="0.25">
      <c r="A25" s="32">
        <v>24</v>
      </c>
      <c r="B25" s="32" t="s">
        <v>64</v>
      </c>
      <c r="C25" s="32">
        <v>2026</v>
      </c>
      <c r="D25" s="33">
        <v>46030</v>
      </c>
      <c r="E25" s="32" t="s">
        <v>140</v>
      </c>
      <c r="F25" s="32" t="s">
        <v>135</v>
      </c>
      <c r="G25" s="40" t="s">
        <v>136</v>
      </c>
      <c r="H25" s="33">
        <v>46037</v>
      </c>
      <c r="J25" s="32" t="s">
        <v>81</v>
      </c>
      <c r="K25" s="36" t="s">
        <v>131</v>
      </c>
      <c r="L25" s="36" t="s">
        <v>123</v>
      </c>
      <c r="M25" s="32" t="s">
        <v>46</v>
      </c>
      <c r="N25" s="32" t="s">
        <v>65</v>
      </c>
      <c r="O25" s="35" t="s">
        <v>58</v>
      </c>
      <c r="P25" s="32">
        <v>30</v>
      </c>
      <c r="Q25" s="35">
        <v>40</v>
      </c>
      <c r="R25" s="41">
        <v>0</v>
      </c>
      <c r="S25" s="35">
        <v>0</v>
      </c>
      <c r="T25" s="35">
        <v>1200</v>
      </c>
    </row>
    <row r="26" spans="1:20" x14ac:dyDescent="0.25">
      <c r="A26" s="32">
        <v>25</v>
      </c>
      <c r="B26" s="32" t="s">
        <v>64</v>
      </c>
      <c r="C26" s="32">
        <v>2026</v>
      </c>
      <c r="D26" s="33">
        <v>46030</v>
      </c>
      <c r="E26" s="32" t="s">
        <v>140</v>
      </c>
      <c r="F26" s="32" t="s">
        <v>135</v>
      </c>
      <c r="G26" s="40" t="s">
        <v>136</v>
      </c>
      <c r="H26" s="33">
        <v>46037</v>
      </c>
      <c r="J26" s="32" t="s">
        <v>81</v>
      </c>
      <c r="K26" s="36" t="s">
        <v>132</v>
      </c>
      <c r="L26" s="36" t="s">
        <v>123</v>
      </c>
      <c r="M26" s="32" t="s">
        <v>46</v>
      </c>
      <c r="N26" s="32" t="s">
        <v>65</v>
      </c>
      <c r="O26" s="35" t="s">
        <v>58</v>
      </c>
      <c r="P26" s="32">
        <v>250</v>
      </c>
      <c r="Q26" s="35">
        <v>70</v>
      </c>
      <c r="R26" s="41">
        <v>0</v>
      </c>
      <c r="S26" s="35">
        <v>0</v>
      </c>
      <c r="T26" s="35">
        <v>17500</v>
      </c>
    </row>
    <row r="27" spans="1:20" x14ac:dyDescent="0.25">
      <c r="A27" s="32">
        <v>26</v>
      </c>
      <c r="B27" s="32" t="s">
        <v>64</v>
      </c>
      <c r="C27" s="32">
        <v>2026</v>
      </c>
      <c r="D27" s="33">
        <v>46030</v>
      </c>
      <c r="E27" s="32" t="s">
        <v>141</v>
      </c>
      <c r="F27" s="32" t="s">
        <v>135</v>
      </c>
      <c r="G27" s="40" t="s">
        <v>136</v>
      </c>
      <c r="H27" s="33">
        <v>46032</v>
      </c>
      <c r="J27" s="32" t="s">
        <v>81</v>
      </c>
      <c r="K27" s="36" t="s">
        <v>128</v>
      </c>
      <c r="L27" s="36" t="s">
        <v>119</v>
      </c>
      <c r="M27" s="32" t="s">
        <v>46</v>
      </c>
      <c r="N27" s="32" t="s">
        <v>65</v>
      </c>
      <c r="O27" s="35" t="s">
        <v>58</v>
      </c>
      <c r="P27" s="32">
        <v>15</v>
      </c>
      <c r="Q27" s="35">
        <v>40</v>
      </c>
      <c r="R27" s="41">
        <v>0.05</v>
      </c>
      <c r="S27" s="35">
        <v>570</v>
      </c>
      <c r="T27" s="35">
        <v>600</v>
      </c>
    </row>
    <row r="28" spans="1:20" x14ac:dyDescent="0.25">
      <c r="A28" s="32">
        <v>27</v>
      </c>
      <c r="B28" s="32" t="s">
        <v>64</v>
      </c>
      <c r="C28" s="32">
        <v>2026</v>
      </c>
      <c r="D28" s="33">
        <v>46030</v>
      </c>
      <c r="E28" s="32" t="s">
        <v>141</v>
      </c>
      <c r="F28" s="32" t="s">
        <v>135</v>
      </c>
      <c r="G28" s="40" t="s">
        <v>136</v>
      </c>
      <c r="H28" s="33">
        <v>46032</v>
      </c>
      <c r="J28" s="32" t="s">
        <v>81</v>
      </c>
      <c r="K28" s="36" t="s">
        <v>130</v>
      </c>
      <c r="L28" s="36" t="s">
        <v>119</v>
      </c>
      <c r="M28" s="32" t="s">
        <v>46</v>
      </c>
      <c r="N28" s="32" t="s">
        <v>65</v>
      </c>
      <c r="O28" s="35" t="s">
        <v>58</v>
      </c>
      <c r="P28" s="32">
        <v>70</v>
      </c>
      <c r="Q28" s="35">
        <v>100</v>
      </c>
      <c r="R28" s="41">
        <v>0.05</v>
      </c>
      <c r="S28" s="35">
        <v>6650</v>
      </c>
      <c r="T28" s="35">
        <v>7000</v>
      </c>
    </row>
    <row r="29" spans="1:20" x14ac:dyDescent="0.25">
      <c r="A29" s="32">
        <v>28</v>
      </c>
      <c r="B29" s="32" t="s">
        <v>64</v>
      </c>
      <c r="C29" s="32">
        <v>2026</v>
      </c>
      <c r="D29" s="33">
        <v>46030</v>
      </c>
      <c r="E29" s="32" t="s">
        <v>141</v>
      </c>
      <c r="F29" s="32" t="s">
        <v>135</v>
      </c>
      <c r="G29" s="40" t="s">
        <v>136</v>
      </c>
      <c r="H29" s="33">
        <v>46032</v>
      </c>
      <c r="J29" s="32" t="s">
        <v>81</v>
      </c>
      <c r="K29" s="36" t="s">
        <v>129</v>
      </c>
      <c r="L29" s="36" t="s">
        <v>119</v>
      </c>
      <c r="M29" s="32" t="s">
        <v>46</v>
      </c>
      <c r="N29" s="32" t="s">
        <v>65</v>
      </c>
      <c r="O29" s="35" t="s">
        <v>58</v>
      </c>
      <c r="P29" s="32">
        <v>500</v>
      </c>
      <c r="Q29" s="35">
        <v>20</v>
      </c>
      <c r="R29" s="41">
        <v>0.05</v>
      </c>
      <c r="S29" s="35">
        <v>9500</v>
      </c>
      <c r="T29" s="35">
        <v>10000</v>
      </c>
    </row>
    <row r="30" spans="1:20" x14ac:dyDescent="0.25">
      <c r="A30" s="32">
        <v>29</v>
      </c>
      <c r="B30" s="32" t="s">
        <v>64</v>
      </c>
      <c r="C30" s="32">
        <v>2026</v>
      </c>
      <c r="D30" s="33">
        <v>46030</v>
      </c>
      <c r="E30" s="32" t="s">
        <v>141</v>
      </c>
      <c r="F30" s="32" t="s">
        <v>135</v>
      </c>
      <c r="G30" s="40" t="s">
        <v>136</v>
      </c>
      <c r="H30" s="33">
        <v>46032</v>
      </c>
      <c r="J30" s="32" t="s">
        <v>81</v>
      </c>
      <c r="K30" s="36" t="s">
        <v>131</v>
      </c>
      <c r="L30" s="36" t="s">
        <v>119</v>
      </c>
      <c r="M30" s="32" t="s">
        <v>46</v>
      </c>
      <c r="N30" s="32" t="s">
        <v>65</v>
      </c>
      <c r="O30" s="35" t="s">
        <v>58</v>
      </c>
      <c r="P30" s="32">
        <v>30</v>
      </c>
      <c r="Q30" s="35">
        <v>40</v>
      </c>
      <c r="R30" s="41">
        <v>0.05</v>
      </c>
      <c r="S30" s="35">
        <v>1140</v>
      </c>
      <c r="T30" s="35">
        <v>1200</v>
      </c>
    </row>
    <row r="31" spans="1:20" x14ac:dyDescent="0.25">
      <c r="A31" s="32">
        <v>30</v>
      </c>
      <c r="B31" s="32" t="s">
        <v>64</v>
      </c>
      <c r="C31" s="32">
        <v>2026</v>
      </c>
      <c r="D31" s="33">
        <v>46030</v>
      </c>
      <c r="E31" s="32" t="s">
        <v>141</v>
      </c>
      <c r="F31" s="32" t="s">
        <v>135</v>
      </c>
      <c r="G31" s="40" t="s">
        <v>136</v>
      </c>
      <c r="H31" s="33">
        <v>46032</v>
      </c>
      <c r="J31" s="32" t="s">
        <v>81</v>
      </c>
      <c r="K31" s="36" t="s">
        <v>132</v>
      </c>
      <c r="L31" s="36" t="s">
        <v>119</v>
      </c>
      <c r="M31" s="32" t="s">
        <v>46</v>
      </c>
      <c r="N31" s="32" t="s">
        <v>65</v>
      </c>
      <c r="O31" s="35" t="s">
        <v>58</v>
      </c>
      <c r="P31" s="32">
        <v>250</v>
      </c>
      <c r="Q31" s="35">
        <v>70</v>
      </c>
      <c r="R31" s="41">
        <v>0.05</v>
      </c>
      <c r="S31" s="35">
        <v>16625</v>
      </c>
      <c r="T31" s="35">
        <v>17500</v>
      </c>
    </row>
    <row r="32" spans="1:20" x14ac:dyDescent="0.25">
      <c r="A32" s="32">
        <v>31</v>
      </c>
      <c r="B32" s="32" t="s">
        <v>64</v>
      </c>
      <c r="C32" s="32">
        <v>2026</v>
      </c>
      <c r="D32" s="33">
        <v>46030</v>
      </c>
      <c r="E32" s="32" t="s">
        <v>141</v>
      </c>
      <c r="F32" s="32" t="s">
        <v>135</v>
      </c>
      <c r="G32" s="40" t="s">
        <v>136</v>
      </c>
      <c r="H32" s="33">
        <v>46032</v>
      </c>
      <c r="J32" s="32" t="s">
        <v>81</v>
      </c>
      <c r="K32" s="36" t="s">
        <v>128</v>
      </c>
      <c r="L32" s="36" t="s">
        <v>124</v>
      </c>
      <c r="M32" s="32" t="s">
        <v>46</v>
      </c>
      <c r="N32" s="32" t="s">
        <v>65</v>
      </c>
      <c r="O32" s="35" t="s">
        <v>58</v>
      </c>
      <c r="P32" s="32">
        <v>15</v>
      </c>
      <c r="Q32" s="35">
        <v>40</v>
      </c>
      <c r="R32" s="41">
        <v>0.05</v>
      </c>
      <c r="S32" s="35">
        <v>570</v>
      </c>
      <c r="T32" s="35">
        <v>600</v>
      </c>
    </row>
    <row r="33" spans="1:20" x14ac:dyDescent="0.25">
      <c r="A33" s="32">
        <v>32</v>
      </c>
      <c r="B33" s="32" t="s">
        <v>64</v>
      </c>
      <c r="C33" s="32">
        <v>2026</v>
      </c>
      <c r="D33" s="33">
        <v>46030</v>
      </c>
      <c r="E33" s="32" t="s">
        <v>141</v>
      </c>
      <c r="F33" s="32" t="s">
        <v>135</v>
      </c>
      <c r="G33" s="40" t="s">
        <v>136</v>
      </c>
      <c r="H33" s="33">
        <v>46032</v>
      </c>
      <c r="J33" s="32" t="s">
        <v>81</v>
      </c>
      <c r="K33" s="36" t="s">
        <v>130</v>
      </c>
      <c r="L33" s="36" t="s">
        <v>124</v>
      </c>
      <c r="M33" s="32" t="s">
        <v>46</v>
      </c>
      <c r="N33" s="32" t="s">
        <v>65</v>
      </c>
      <c r="O33" s="35" t="s">
        <v>58</v>
      </c>
      <c r="P33" s="32">
        <v>70</v>
      </c>
      <c r="Q33" s="35">
        <v>100</v>
      </c>
      <c r="R33" s="41">
        <v>0.05</v>
      </c>
      <c r="S33" s="35">
        <v>6650</v>
      </c>
      <c r="T33" s="35">
        <v>7000</v>
      </c>
    </row>
    <row r="34" spans="1:20" x14ac:dyDescent="0.25">
      <c r="A34" s="32">
        <v>33</v>
      </c>
      <c r="B34" s="32" t="s">
        <v>64</v>
      </c>
      <c r="C34" s="32">
        <v>2026</v>
      </c>
      <c r="D34" s="33">
        <v>46030</v>
      </c>
      <c r="E34" s="32" t="s">
        <v>141</v>
      </c>
      <c r="F34" s="32" t="s">
        <v>135</v>
      </c>
      <c r="G34" s="40" t="s">
        <v>136</v>
      </c>
      <c r="H34" s="33">
        <v>46032</v>
      </c>
      <c r="J34" s="32" t="s">
        <v>81</v>
      </c>
      <c r="K34" s="36" t="s">
        <v>129</v>
      </c>
      <c r="L34" s="36" t="s">
        <v>124</v>
      </c>
      <c r="M34" s="32" t="s">
        <v>46</v>
      </c>
      <c r="N34" s="32" t="s">
        <v>65</v>
      </c>
      <c r="O34" s="35" t="s">
        <v>58</v>
      </c>
      <c r="P34" s="32">
        <v>500</v>
      </c>
      <c r="Q34" s="35">
        <v>20</v>
      </c>
      <c r="R34" s="41">
        <v>0.05</v>
      </c>
      <c r="S34" s="35">
        <v>9500</v>
      </c>
      <c r="T34" s="35">
        <v>10000</v>
      </c>
    </row>
    <row r="35" spans="1:20" x14ac:dyDescent="0.25">
      <c r="A35" s="32">
        <v>34</v>
      </c>
      <c r="B35" s="32" t="s">
        <v>64</v>
      </c>
      <c r="C35" s="32">
        <v>2026</v>
      </c>
      <c r="D35" s="33">
        <v>46030</v>
      </c>
      <c r="E35" s="32" t="s">
        <v>141</v>
      </c>
      <c r="F35" s="32" t="s">
        <v>135</v>
      </c>
      <c r="G35" s="40" t="s">
        <v>136</v>
      </c>
      <c r="H35" s="33">
        <v>46032</v>
      </c>
      <c r="J35" s="32" t="s">
        <v>81</v>
      </c>
      <c r="K35" s="36" t="s">
        <v>131</v>
      </c>
      <c r="L35" s="36" t="s">
        <v>124</v>
      </c>
      <c r="M35" s="32" t="s">
        <v>46</v>
      </c>
      <c r="N35" s="32" t="s">
        <v>65</v>
      </c>
      <c r="O35" s="35" t="s">
        <v>58</v>
      </c>
      <c r="P35" s="32">
        <v>30</v>
      </c>
      <c r="Q35" s="35">
        <v>40</v>
      </c>
      <c r="R35" s="41">
        <v>0.05</v>
      </c>
      <c r="S35" s="35">
        <v>1140</v>
      </c>
      <c r="T35" s="35">
        <v>1200</v>
      </c>
    </row>
    <row r="36" spans="1:20" x14ac:dyDescent="0.25">
      <c r="A36" s="32">
        <v>35</v>
      </c>
      <c r="B36" s="32" t="s">
        <v>64</v>
      </c>
      <c r="C36" s="32">
        <v>2026</v>
      </c>
      <c r="D36" s="33">
        <v>46030</v>
      </c>
      <c r="E36" s="32" t="s">
        <v>141</v>
      </c>
      <c r="F36" s="32" t="s">
        <v>135</v>
      </c>
      <c r="G36" s="40" t="s">
        <v>136</v>
      </c>
      <c r="H36" s="33">
        <v>46032</v>
      </c>
      <c r="J36" s="32" t="s">
        <v>81</v>
      </c>
      <c r="K36" s="36" t="s">
        <v>132</v>
      </c>
      <c r="L36" s="36" t="s">
        <v>124</v>
      </c>
      <c r="M36" s="32" t="s">
        <v>46</v>
      </c>
      <c r="N36" s="32" t="s">
        <v>65</v>
      </c>
      <c r="O36" s="35" t="s">
        <v>58</v>
      </c>
      <c r="P36" s="32">
        <v>250</v>
      </c>
      <c r="Q36" s="35">
        <v>70</v>
      </c>
      <c r="R36" s="41">
        <v>0.05</v>
      </c>
      <c r="S36" s="35">
        <v>16625</v>
      </c>
      <c r="T36" s="35">
        <v>17500</v>
      </c>
    </row>
    <row r="37" spans="1:20" x14ac:dyDescent="0.25">
      <c r="A37" s="32">
        <v>36</v>
      </c>
      <c r="B37" s="32" t="s">
        <v>64</v>
      </c>
      <c r="C37" s="32">
        <v>2026</v>
      </c>
      <c r="D37" s="33">
        <v>46030</v>
      </c>
      <c r="E37" s="32" t="s">
        <v>141</v>
      </c>
      <c r="F37" s="32" t="s">
        <v>139</v>
      </c>
      <c r="G37" s="40" t="s">
        <v>136</v>
      </c>
      <c r="H37" s="33">
        <v>46032</v>
      </c>
      <c r="J37" s="32" t="s">
        <v>81</v>
      </c>
      <c r="K37" s="36" t="s">
        <v>128</v>
      </c>
      <c r="L37" s="36" t="s">
        <v>124</v>
      </c>
      <c r="M37" s="32" t="s">
        <v>46</v>
      </c>
      <c r="N37" s="32" t="s">
        <v>65</v>
      </c>
      <c r="O37" s="35" t="s">
        <v>58</v>
      </c>
      <c r="P37" s="32">
        <v>15</v>
      </c>
      <c r="Q37" s="35">
        <v>40</v>
      </c>
      <c r="R37" s="41">
        <v>0.03</v>
      </c>
      <c r="S37" s="35">
        <v>582</v>
      </c>
      <c r="T37" s="35">
        <v>600</v>
      </c>
    </row>
    <row r="38" spans="1:20" x14ac:dyDescent="0.25">
      <c r="A38" s="32">
        <v>37</v>
      </c>
      <c r="B38" s="32" t="s">
        <v>64</v>
      </c>
      <c r="C38" s="32">
        <v>2026</v>
      </c>
      <c r="D38" s="33">
        <v>46030</v>
      </c>
      <c r="E38" s="32" t="s">
        <v>141</v>
      </c>
      <c r="F38" s="32" t="s">
        <v>139</v>
      </c>
      <c r="G38" s="40" t="s">
        <v>136</v>
      </c>
      <c r="H38" s="33">
        <v>46032</v>
      </c>
      <c r="J38" s="32" t="s">
        <v>81</v>
      </c>
      <c r="K38" s="36" t="s">
        <v>130</v>
      </c>
      <c r="L38" s="36" t="s">
        <v>124</v>
      </c>
      <c r="M38" s="32" t="s">
        <v>46</v>
      </c>
      <c r="N38" s="32" t="s">
        <v>65</v>
      </c>
      <c r="O38" s="35" t="s">
        <v>58</v>
      </c>
      <c r="P38" s="32">
        <v>100</v>
      </c>
      <c r="Q38" s="35">
        <v>100</v>
      </c>
      <c r="R38" s="41">
        <v>0.03</v>
      </c>
      <c r="S38" s="35">
        <v>9700</v>
      </c>
      <c r="T38" s="35">
        <v>10000</v>
      </c>
    </row>
    <row r="39" spans="1:20" x14ac:dyDescent="0.25">
      <c r="A39" s="32">
        <v>38</v>
      </c>
      <c r="B39" s="32" t="s">
        <v>64</v>
      </c>
      <c r="C39" s="32">
        <v>2026</v>
      </c>
      <c r="D39" s="33">
        <v>46030</v>
      </c>
      <c r="E39" s="32" t="s">
        <v>141</v>
      </c>
      <c r="F39" s="32" t="s">
        <v>139</v>
      </c>
      <c r="G39" s="40" t="s">
        <v>136</v>
      </c>
      <c r="H39" s="33">
        <v>46032</v>
      </c>
      <c r="J39" s="32" t="s">
        <v>81</v>
      </c>
      <c r="K39" s="36" t="s">
        <v>129</v>
      </c>
      <c r="L39" s="36" t="s">
        <v>124</v>
      </c>
      <c r="M39" s="32" t="s">
        <v>46</v>
      </c>
      <c r="N39" s="32" t="s">
        <v>65</v>
      </c>
      <c r="O39" s="35" t="s">
        <v>58</v>
      </c>
      <c r="P39" s="32">
        <v>500</v>
      </c>
      <c r="Q39" s="35">
        <v>20</v>
      </c>
      <c r="R39" s="41">
        <v>0.03</v>
      </c>
      <c r="S39" s="35">
        <v>9700</v>
      </c>
      <c r="T39" s="35">
        <v>10000</v>
      </c>
    </row>
    <row r="40" spans="1:20" x14ac:dyDescent="0.25">
      <c r="A40" s="32">
        <v>39</v>
      </c>
      <c r="B40" s="32" t="s">
        <v>64</v>
      </c>
      <c r="C40" s="32">
        <v>2026</v>
      </c>
      <c r="D40" s="33">
        <v>46030</v>
      </c>
      <c r="E40" s="32" t="s">
        <v>141</v>
      </c>
      <c r="F40" s="32" t="s">
        <v>139</v>
      </c>
      <c r="G40" s="40" t="s">
        <v>136</v>
      </c>
      <c r="H40" s="33">
        <v>46032</v>
      </c>
      <c r="J40" s="32" t="s">
        <v>81</v>
      </c>
      <c r="K40" s="36" t="s">
        <v>131</v>
      </c>
      <c r="L40" s="36" t="s">
        <v>124</v>
      </c>
      <c r="M40" s="32" t="s">
        <v>46</v>
      </c>
      <c r="N40" s="32" t="s">
        <v>65</v>
      </c>
      <c r="O40" s="35" t="s">
        <v>58</v>
      </c>
      <c r="P40" s="32">
        <v>30</v>
      </c>
      <c r="Q40" s="35">
        <v>40</v>
      </c>
      <c r="R40" s="41">
        <v>0.03</v>
      </c>
      <c r="S40" s="35">
        <v>1164</v>
      </c>
      <c r="T40" s="35">
        <v>1200</v>
      </c>
    </row>
    <row r="41" spans="1:20" x14ac:dyDescent="0.25">
      <c r="A41" s="32">
        <v>40</v>
      </c>
      <c r="B41" s="32" t="s">
        <v>64</v>
      </c>
      <c r="C41" s="32">
        <v>2026</v>
      </c>
      <c r="D41" s="33">
        <v>46030</v>
      </c>
      <c r="E41" s="32" t="s">
        <v>141</v>
      </c>
      <c r="F41" s="32" t="s">
        <v>139</v>
      </c>
      <c r="G41" s="40" t="s">
        <v>136</v>
      </c>
      <c r="H41" s="33">
        <v>46032</v>
      </c>
      <c r="J41" s="32" t="s">
        <v>81</v>
      </c>
      <c r="K41" s="36" t="s">
        <v>132</v>
      </c>
      <c r="L41" s="36" t="s">
        <v>124</v>
      </c>
      <c r="M41" s="32" t="s">
        <v>46</v>
      </c>
      <c r="N41" s="32" t="s">
        <v>65</v>
      </c>
      <c r="O41" s="35" t="s">
        <v>58</v>
      </c>
      <c r="P41" s="32">
        <v>250</v>
      </c>
      <c r="Q41" s="35">
        <v>70</v>
      </c>
      <c r="R41" s="41">
        <v>0.03</v>
      </c>
      <c r="S41" s="35">
        <v>16975</v>
      </c>
      <c r="T41" s="35">
        <v>17500</v>
      </c>
    </row>
    <row r="42" spans="1:20" x14ac:dyDescent="0.25">
      <c r="A42" s="32">
        <v>41</v>
      </c>
      <c r="B42" s="32" t="s">
        <v>64</v>
      </c>
      <c r="C42" s="32">
        <v>2026</v>
      </c>
      <c r="D42" s="33">
        <v>46030</v>
      </c>
      <c r="E42" s="32" t="s">
        <v>141</v>
      </c>
      <c r="F42" s="32" t="s">
        <v>142</v>
      </c>
      <c r="G42" s="40" t="s">
        <v>136</v>
      </c>
      <c r="H42" s="33">
        <v>46032</v>
      </c>
      <c r="J42" s="32" t="s">
        <v>81</v>
      </c>
      <c r="K42" s="36" t="s">
        <v>128</v>
      </c>
      <c r="L42" s="36" t="s">
        <v>124</v>
      </c>
      <c r="M42" s="32" t="s">
        <v>46</v>
      </c>
      <c r="N42" s="32" t="s">
        <v>65</v>
      </c>
      <c r="O42" s="35" t="s">
        <v>58</v>
      </c>
      <c r="P42" s="32">
        <v>20</v>
      </c>
      <c r="Q42" s="35">
        <v>40</v>
      </c>
      <c r="R42" s="41">
        <v>0.03</v>
      </c>
      <c r="S42" s="35">
        <v>776</v>
      </c>
      <c r="T42" s="35">
        <v>800</v>
      </c>
    </row>
    <row r="43" spans="1:20" x14ac:dyDescent="0.25">
      <c r="A43" s="32">
        <v>42</v>
      </c>
      <c r="B43" s="32" t="s">
        <v>64</v>
      </c>
      <c r="C43" s="32">
        <v>2026</v>
      </c>
      <c r="D43" s="33">
        <v>46030</v>
      </c>
      <c r="E43" s="32" t="s">
        <v>141</v>
      </c>
      <c r="F43" s="32" t="s">
        <v>142</v>
      </c>
      <c r="G43" s="40" t="s">
        <v>136</v>
      </c>
      <c r="H43" s="33">
        <v>46032</v>
      </c>
      <c r="J43" s="32" t="s">
        <v>81</v>
      </c>
      <c r="K43" s="36" t="s">
        <v>130</v>
      </c>
      <c r="L43" s="36" t="s">
        <v>124</v>
      </c>
      <c r="M43" s="32" t="s">
        <v>46</v>
      </c>
      <c r="N43" s="32" t="s">
        <v>65</v>
      </c>
      <c r="O43" s="35" t="s">
        <v>58</v>
      </c>
      <c r="P43" s="32">
        <v>100</v>
      </c>
      <c r="Q43" s="35">
        <v>100</v>
      </c>
      <c r="R43" s="41">
        <v>0.03</v>
      </c>
      <c r="S43" s="35">
        <v>9700</v>
      </c>
      <c r="T43" s="35">
        <v>10000</v>
      </c>
    </row>
    <row r="44" spans="1:20" x14ac:dyDescent="0.25">
      <c r="A44" s="32">
        <v>43</v>
      </c>
      <c r="B44" s="32" t="s">
        <v>64</v>
      </c>
      <c r="C44" s="32">
        <v>2026</v>
      </c>
      <c r="D44" s="33">
        <v>46030</v>
      </c>
      <c r="E44" s="32" t="s">
        <v>141</v>
      </c>
      <c r="F44" s="32" t="s">
        <v>142</v>
      </c>
      <c r="G44" s="40" t="s">
        <v>136</v>
      </c>
      <c r="H44" s="33">
        <v>46032</v>
      </c>
      <c r="J44" s="32" t="s">
        <v>81</v>
      </c>
      <c r="K44" s="36" t="s">
        <v>129</v>
      </c>
      <c r="L44" s="36" t="s">
        <v>124</v>
      </c>
      <c r="M44" s="32" t="s">
        <v>46</v>
      </c>
      <c r="N44" s="32" t="s">
        <v>65</v>
      </c>
      <c r="O44" s="35" t="s">
        <v>58</v>
      </c>
      <c r="P44" s="32">
        <v>500</v>
      </c>
      <c r="Q44" s="35">
        <v>20</v>
      </c>
      <c r="R44" s="41">
        <v>0.03</v>
      </c>
      <c r="S44" s="35">
        <v>9700</v>
      </c>
      <c r="T44" s="35">
        <v>10000</v>
      </c>
    </row>
    <row r="45" spans="1:20" x14ac:dyDescent="0.25">
      <c r="A45" s="32">
        <v>44</v>
      </c>
      <c r="B45" s="32" t="s">
        <v>64</v>
      </c>
      <c r="C45" s="32">
        <v>2026</v>
      </c>
      <c r="D45" s="33">
        <v>46030</v>
      </c>
      <c r="E45" s="32" t="s">
        <v>141</v>
      </c>
      <c r="F45" s="32" t="s">
        <v>142</v>
      </c>
      <c r="G45" s="40" t="s">
        <v>136</v>
      </c>
      <c r="H45" s="33">
        <v>46032</v>
      </c>
      <c r="J45" s="32" t="s">
        <v>81</v>
      </c>
      <c r="K45" s="36" t="s">
        <v>131</v>
      </c>
      <c r="L45" s="36" t="s">
        <v>124</v>
      </c>
      <c r="M45" s="32" t="s">
        <v>46</v>
      </c>
      <c r="N45" s="32" t="s">
        <v>65</v>
      </c>
      <c r="O45" s="35" t="s">
        <v>58</v>
      </c>
      <c r="P45" s="32">
        <v>30</v>
      </c>
      <c r="Q45" s="35">
        <v>40</v>
      </c>
      <c r="R45" s="41">
        <v>0.03</v>
      </c>
      <c r="S45" s="35">
        <v>1164</v>
      </c>
      <c r="T45" s="35">
        <v>1200</v>
      </c>
    </row>
    <row r="46" spans="1:20" x14ac:dyDescent="0.25">
      <c r="A46" s="32">
        <v>45</v>
      </c>
      <c r="B46" s="32" t="s">
        <v>64</v>
      </c>
      <c r="C46" s="32">
        <v>2026</v>
      </c>
      <c r="D46" s="33">
        <v>46030</v>
      </c>
      <c r="E46" s="32" t="s">
        <v>141</v>
      </c>
      <c r="F46" s="32" t="s">
        <v>142</v>
      </c>
      <c r="G46" s="40" t="s">
        <v>136</v>
      </c>
      <c r="H46" s="33">
        <v>46032</v>
      </c>
      <c r="J46" s="32" t="s">
        <v>81</v>
      </c>
      <c r="K46" s="36" t="s">
        <v>132</v>
      </c>
      <c r="L46" s="36" t="s">
        <v>124</v>
      </c>
      <c r="M46" s="32" t="s">
        <v>46</v>
      </c>
      <c r="N46" s="32" t="s">
        <v>65</v>
      </c>
      <c r="O46" s="35" t="s">
        <v>58</v>
      </c>
      <c r="P46" s="32">
        <v>250</v>
      </c>
      <c r="Q46" s="35">
        <v>70</v>
      </c>
      <c r="R46" s="41">
        <v>0.03</v>
      </c>
      <c r="S46" s="35">
        <v>16975</v>
      </c>
      <c r="T46" s="35">
        <v>17500</v>
      </c>
    </row>
    <row r="47" spans="1:20" x14ac:dyDescent="0.25">
      <c r="A47" s="32">
        <v>46</v>
      </c>
      <c r="B47" s="32" t="s">
        <v>64</v>
      </c>
      <c r="C47" s="32">
        <v>2026</v>
      </c>
      <c r="D47" s="33">
        <v>46030</v>
      </c>
      <c r="E47" s="32" t="s">
        <v>143</v>
      </c>
      <c r="F47" s="32" t="s">
        <v>135</v>
      </c>
      <c r="G47" s="40" t="s">
        <v>136</v>
      </c>
      <c r="H47" s="33">
        <v>46037</v>
      </c>
      <c r="J47" s="32" t="s">
        <v>81</v>
      </c>
      <c r="K47" s="36" t="s">
        <v>128</v>
      </c>
      <c r="L47" s="36" t="s">
        <v>133</v>
      </c>
      <c r="M47" s="32" t="s">
        <v>46</v>
      </c>
      <c r="N47" s="32" t="s">
        <v>65</v>
      </c>
      <c r="O47" s="35" t="s">
        <v>58</v>
      </c>
      <c r="P47" s="32">
        <v>20</v>
      </c>
      <c r="Q47" s="35">
        <v>40</v>
      </c>
      <c r="R47" s="41">
        <v>0.03</v>
      </c>
      <c r="S47" s="35">
        <v>776</v>
      </c>
      <c r="T47" s="35">
        <v>800</v>
      </c>
    </row>
    <row r="48" spans="1:20" x14ac:dyDescent="0.25">
      <c r="A48" s="32">
        <v>47</v>
      </c>
      <c r="B48" s="32" t="s">
        <v>64</v>
      </c>
      <c r="C48" s="32">
        <v>2026</v>
      </c>
      <c r="D48" s="33">
        <v>46030</v>
      </c>
      <c r="E48" s="32" t="s">
        <v>143</v>
      </c>
      <c r="F48" s="32" t="s">
        <v>135</v>
      </c>
      <c r="G48" s="40" t="s">
        <v>136</v>
      </c>
      <c r="H48" s="33">
        <v>46037</v>
      </c>
      <c r="J48" s="32" t="s">
        <v>81</v>
      </c>
      <c r="K48" s="36" t="s">
        <v>130</v>
      </c>
      <c r="L48" s="36" t="s">
        <v>133</v>
      </c>
      <c r="M48" s="32" t="s">
        <v>46</v>
      </c>
      <c r="N48" s="32" t="s">
        <v>65</v>
      </c>
      <c r="O48" s="35" t="s">
        <v>58</v>
      </c>
      <c r="P48" s="32">
        <v>100</v>
      </c>
      <c r="Q48" s="35">
        <v>100</v>
      </c>
      <c r="R48" s="41">
        <v>0.03</v>
      </c>
      <c r="S48" s="35">
        <v>9700</v>
      </c>
      <c r="T48" s="35">
        <v>10000</v>
      </c>
    </row>
    <row r="49" spans="1:20" x14ac:dyDescent="0.25">
      <c r="A49" s="32">
        <v>48</v>
      </c>
      <c r="B49" s="32" t="s">
        <v>64</v>
      </c>
      <c r="C49" s="32">
        <v>2026</v>
      </c>
      <c r="D49" s="33">
        <v>46030</v>
      </c>
      <c r="E49" s="32" t="s">
        <v>143</v>
      </c>
      <c r="F49" s="32" t="s">
        <v>135</v>
      </c>
      <c r="G49" s="40" t="s">
        <v>136</v>
      </c>
      <c r="H49" s="33">
        <v>46037</v>
      </c>
      <c r="J49" s="32" t="s">
        <v>81</v>
      </c>
      <c r="K49" s="36" t="s">
        <v>129</v>
      </c>
      <c r="L49" s="36" t="s">
        <v>133</v>
      </c>
      <c r="M49" s="32" t="s">
        <v>46</v>
      </c>
      <c r="N49" s="32" t="s">
        <v>65</v>
      </c>
      <c r="O49" s="35" t="s">
        <v>58</v>
      </c>
      <c r="P49" s="32">
        <v>500</v>
      </c>
      <c r="Q49" s="35">
        <v>20</v>
      </c>
      <c r="R49" s="41">
        <v>0.03</v>
      </c>
      <c r="S49" s="35">
        <v>9700</v>
      </c>
      <c r="T49" s="35">
        <v>10000</v>
      </c>
    </row>
    <row r="50" spans="1:20" x14ac:dyDescent="0.25">
      <c r="A50" s="32">
        <v>49</v>
      </c>
      <c r="B50" s="32" t="s">
        <v>64</v>
      </c>
      <c r="C50" s="32">
        <v>2026</v>
      </c>
      <c r="D50" s="33">
        <v>46030</v>
      </c>
      <c r="E50" s="32" t="s">
        <v>143</v>
      </c>
      <c r="F50" s="32" t="s">
        <v>135</v>
      </c>
      <c r="G50" s="40" t="s">
        <v>136</v>
      </c>
      <c r="H50" s="33">
        <v>46037</v>
      </c>
      <c r="J50" s="32" t="s">
        <v>81</v>
      </c>
      <c r="K50" s="36" t="s">
        <v>131</v>
      </c>
      <c r="L50" s="36" t="s">
        <v>133</v>
      </c>
      <c r="M50" s="32" t="s">
        <v>46</v>
      </c>
      <c r="N50" s="32" t="s">
        <v>65</v>
      </c>
      <c r="O50" s="35" t="s">
        <v>58</v>
      </c>
      <c r="P50" s="32">
        <v>30</v>
      </c>
      <c r="Q50" s="35">
        <v>40</v>
      </c>
      <c r="R50" s="41">
        <v>0.03</v>
      </c>
      <c r="S50" s="35">
        <v>1164</v>
      </c>
      <c r="T50" s="35">
        <v>1200</v>
      </c>
    </row>
    <row r="51" spans="1:20" x14ac:dyDescent="0.25">
      <c r="A51" s="32">
        <v>50</v>
      </c>
      <c r="B51" s="32" t="s">
        <v>64</v>
      </c>
      <c r="C51" s="32">
        <v>2026</v>
      </c>
      <c r="D51" s="33">
        <v>46030</v>
      </c>
      <c r="E51" s="32" t="s">
        <v>143</v>
      </c>
      <c r="F51" s="32" t="s">
        <v>135</v>
      </c>
      <c r="G51" s="40" t="s">
        <v>136</v>
      </c>
      <c r="H51" s="33">
        <v>46037</v>
      </c>
      <c r="J51" s="32" t="s">
        <v>81</v>
      </c>
      <c r="K51" s="36" t="s">
        <v>132</v>
      </c>
      <c r="L51" s="36" t="s">
        <v>133</v>
      </c>
      <c r="M51" s="32" t="s">
        <v>46</v>
      </c>
      <c r="N51" s="32" t="s">
        <v>65</v>
      </c>
      <c r="O51" s="35" t="s">
        <v>58</v>
      </c>
      <c r="P51" s="32">
        <v>250</v>
      </c>
      <c r="Q51" s="35">
        <v>70</v>
      </c>
      <c r="R51" s="41">
        <v>0.03</v>
      </c>
      <c r="S51" s="35">
        <v>16975</v>
      </c>
      <c r="T51" s="35">
        <v>17500</v>
      </c>
    </row>
    <row r="52" spans="1:20" x14ac:dyDescent="0.25">
      <c r="A52" s="32">
        <v>51</v>
      </c>
      <c r="B52" s="32" t="s">
        <v>64</v>
      </c>
      <c r="C52" s="32">
        <v>2026</v>
      </c>
      <c r="D52" s="33">
        <v>46027</v>
      </c>
      <c r="E52" s="32" t="s">
        <v>144</v>
      </c>
      <c r="F52" s="32" t="s">
        <v>135</v>
      </c>
      <c r="G52" s="40" t="s">
        <v>136</v>
      </c>
      <c r="H52" s="33">
        <v>46037</v>
      </c>
      <c r="J52" s="32" t="s">
        <v>56</v>
      </c>
      <c r="K52" s="36" t="s">
        <v>128</v>
      </c>
      <c r="L52" s="36" t="s">
        <v>133</v>
      </c>
      <c r="M52" s="32" t="s">
        <v>46</v>
      </c>
      <c r="N52" s="32" t="s">
        <v>65</v>
      </c>
      <c r="O52" s="35" t="s">
        <v>58</v>
      </c>
      <c r="P52" s="32">
        <v>20</v>
      </c>
      <c r="Q52" s="35">
        <v>40</v>
      </c>
      <c r="R52" s="41">
        <v>0.03</v>
      </c>
      <c r="S52" s="35">
        <v>776</v>
      </c>
      <c r="T52" s="35">
        <v>800</v>
      </c>
    </row>
    <row r="53" spans="1:20" x14ac:dyDescent="0.25">
      <c r="A53" s="32">
        <v>52</v>
      </c>
      <c r="B53" s="32" t="s">
        <v>64</v>
      </c>
      <c r="C53" s="32">
        <v>2026</v>
      </c>
      <c r="D53" s="33">
        <v>46027</v>
      </c>
      <c r="E53" s="32" t="s">
        <v>144</v>
      </c>
      <c r="F53" s="32" t="s">
        <v>135</v>
      </c>
      <c r="G53" s="40" t="s">
        <v>136</v>
      </c>
      <c r="H53" s="33">
        <v>46037</v>
      </c>
      <c r="J53" s="32" t="s">
        <v>56</v>
      </c>
      <c r="K53" s="36" t="s">
        <v>130</v>
      </c>
      <c r="L53" s="36" t="s">
        <v>133</v>
      </c>
      <c r="M53" s="32" t="s">
        <v>46</v>
      </c>
      <c r="N53" s="32" t="s">
        <v>85</v>
      </c>
      <c r="O53" s="35" t="s">
        <v>58</v>
      </c>
      <c r="P53" s="32">
        <v>100</v>
      </c>
      <c r="Q53" s="35">
        <v>100</v>
      </c>
      <c r="R53" s="41">
        <v>0.03</v>
      </c>
      <c r="S53" s="35">
        <v>9700</v>
      </c>
      <c r="T53" s="35">
        <v>10000</v>
      </c>
    </row>
    <row r="54" spans="1:20" x14ac:dyDescent="0.25">
      <c r="A54" s="32">
        <v>53</v>
      </c>
      <c r="B54" s="32" t="s">
        <v>64</v>
      </c>
      <c r="C54" s="32">
        <v>2026</v>
      </c>
      <c r="D54" s="33">
        <v>46027</v>
      </c>
      <c r="E54" s="32" t="s">
        <v>144</v>
      </c>
      <c r="F54" s="32" t="s">
        <v>135</v>
      </c>
      <c r="G54" s="40" t="s">
        <v>136</v>
      </c>
      <c r="H54" s="33">
        <v>46037</v>
      </c>
      <c r="J54" s="32" t="s">
        <v>56</v>
      </c>
      <c r="K54" s="36" t="s">
        <v>129</v>
      </c>
      <c r="L54" s="36" t="s">
        <v>133</v>
      </c>
      <c r="M54" s="32" t="s">
        <v>46</v>
      </c>
      <c r="N54" s="32" t="s">
        <v>65</v>
      </c>
      <c r="O54" s="35" t="s">
        <v>58</v>
      </c>
      <c r="P54" s="32">
        <v>500</v>
      </c>
      <c r="Q54" s="35">
        <v>20</v>
      </c>
      <c r="R54" s="41">
        <v>0.03</v>
      </c>
      <c r="S54" s="35">
        <v>9700</v>
      </c>
      <c r="T54" s="35">
        <v>10000</v>
      </c>
    </row>
    <row r="55" spans="1:20" x14ac:dyDescent="0.25">
      <c r="A55" s="32">
        <v>54</v>
      </c>
      <c r="B55" s="32" t="s">
        <v>64</v>
      </c>
      <c r="C55" s="32">
        <v>2026</v>
      </c>
      <c r="D55" s="33">
        <v>46027</v>
      </c>
      <c r="E55" s="32" t="s">
        <v>144</v>
      </c>
      <c r="F55" s="32" t="s">
        <v>135</v>
      </c>
      <c r="G55" s="40" t="s">
        <v>136</v>
      </c>
      <c r="H55" s="33">
        <v>46037</v>
      </c>
      <c r="J55" s="32" t="s">
        <v>56</v>
      </c>
      <c r="K55" s="36" t="s">
        <v>131</v>
      </c>
      <c r="L55" s="36" t="s">
        <v>133</v>
      </c>
      <c r="M55" s="32" t="s">
        <v>46</v>
      </c>
      <c r="N55" s="32" t="s">
        <v>65</v>
      </c>
      <c r="O55" s="35" t="s">
        <v>58</v>
      </c>
      <c r="P55" s="32">
        <v>30</v>
      </c>
      <c r="Q55" s="35">
        <v>40</v>
      </c>
      <c r="R55" s="41">
        <v>0.03</v>
      </c>
      <c r="S55" s="35">
        <v>1164</v>
      </c>
      <c r="T55" s="35">
        <v>1200</v>
      </c>
    </row>
    <row r="56" spans="1:20" x14ac:dyDescent="0.25">
      <c r="A56" s="32">
        <v>55</v>
      </c>
      <c r="B56" s="32" t="s">
        <v>64</v>
      </c>
      <c r="C56" s="32">
        <v>2026</v>
      </c>
      <c r="D56" s="33">
        <v>46027</v>
      </c>
      <c r="E56" s="32" t="s">
        <v>144</v>
      </c>
      <c r="F56" s="32" t="s">
        <v>135</v>
      </c>
      <c r="G56" s="40" t="s">
        <v>136</v>
      </c>
      <c r="H56" s="33">
        <v>46037</v>
      </c>
      <c r="J56" s="32" t="s">
        <v>56</v>
      </c>
      <c r="K56" s="36" t="s">
        <v>132</v>
      </c>
      <c r="L56" s="36" t="s">
        <v>133</v>
      </c>
      <c r="M56" s="32" t="s">
        <v>46</v>
      </c>
      <c r="N56" s="32" t="s">
        <v>82</v>
      </c>
      <c r="O56" s="35" t="s">
        <v>58</v>
      </c>
      <c r="P56" s="32">
        <v>250</v>
      </c>
      <c r="Q56" s="35">
        <v>70</v>
      </c>
      <c r="R56" s="41">
        <v>0.03</v>
      </c>
      <c r="S56" s="35">
        <v>16975</v>
      </c>
      <c r="T56" s="35">
        <v>17500</v>
      </c>
    </row>
    <row r="57" spans="1:20" x14ac:dyDescent="0.25">
      <c r="A57" s="32">
        <v>56</v>
      </c>
      <c r="B57" s="32" t="s">
        <v>64</v>
      </c>
      <c r="C57" s="32">
        <v>2026</v>
      </c>
      <c r="D57" s="33">
        <v>46027</v>
      </c>
      <c r="E57" s="32" t="s">
        <v>146</v>
      </c>
      <c r="F57" s="32" t="s">
        <v>135</v>
      </c>
      <c r="G57" s="40" t="s">
        <v>136</v>
      </c>
      <c r="H57" s="33">
        <v>46037</v>
      </c>
      <c r="J57" s="32" t="s">
        <v>56</v>
      </c>
      <c r="K57" s="36" t="s">
        <v>131</v>
      </c>
      <c r="L57" s="36" t="s">
        <v>122</v>
      </c>
      <c r="M57" s="32" t="s">
        <v>46</v>
      </c>
      <c r="N57" s="32" t="s">
        <v>83</v>
      </c>
      <c r="O57" s="35" t="s">
        <v>40</v>
      </c>
      <c r="P57" s="32">
        <v>20</v>
      </c>
      <c r="Q57" s="35">
        <v>40</v>
      </c>
      <c r="R57" s="41">
        <v>0.05</v>
      </c>
      <c r="S57" s="35">
        <v>760</v>
      </c>
      <c r="T57" s="35">
        <v>800</v>
      </c>
    </row>
    <row r="58" spans="1:20" x14ac:dyDescent="0.25">
      <c r="A58" s="32">
        <v>57</v>
      </c>
      <c r="B58" s="32" t="s">
        <v>64</v>
      </c>
      <c r="C58" s="32">
        <v>2026</v>
      </c>
      <c r="D58" s="33">
        <v>46027</v>
      </c>
      <c r="E58" s="32" t="s">
        <v>146</v>
      </c>
      <c r="F58" s="32" t="s">
        <v>135</v>
      </c>
      <c r="G58" s="40" t="s">
        <v>136</v>
      </c>
      <c r="H58" s="33">
        <v>46037</v>
      </c>
      <c r="J58" s="32" t="s">
        <v>56</v>
      </c>
      <c r="K58" s="36" t="s">
        <v>130</v>
      </c>
      <c r="L58" s="36" t="s">
        <v>122</v>
      </c>
      <c r="M58" s="32" t="s">
        <v>46</v>
      </c>
      <c r="N58" s="32" t="s">
        <v>84</v>
      </c>
      <c r="O58" s="35" t="s">
        <v>40</v>
      </c>
      <c r="P58" s="32">
        <v>100</v>
      </c>
      <c r="Q58" s="35">
        <v>100</v>
      </c>
      <c r="R58" s="41">
        <v>0.05</v>
      </c>
      <c r="S58" s="35">
        <v>9500</v>
      </c>
      <c r="T58" s="35">
        <v>10000</v>
      </c>
    </row>
    <row r="59" spans="1:20" x14ac:dyDescent="0.25">
      <c r="A59" s="32">
        <v>58</v>
      </c>
      <c r="B59" s="32" t="s">
        <v>64</v>
      </c>
      <c r="C59" s="32">
        <v>2026</v>
      </c>
      <c r="D59" s="33">
        <v>46027</v>
      </c>
      <c r="E59" s="32" t="s">
        <v>146</v>
      </c>
      <c r="F59" s="32" t="s">
        <v>135</v>
      </c>
      <c r="G59" s="40" t="s">
        <v>136</v>
      </c>
      <c r="H59" s="33">
        <v>46037</v>
      </c>
      <c r="J59" s="32" t="s">
        <v>56</v>
      </c>
      <c r="K59" s="36" t="s">
        <v>129</v>
      </c>
      <c r="L59" s="36" t="s">
        <v>122</v>
      </c>
      <c r="M59" s="32" t="s">
        <v>46</v>
      </c>
      <c r="N59" s="32" t="s">
        <v>65</v>
      </c>
      <c r="O59" s="35" t="s">
        <v>40</v>
      </c>
      <c r="P59" s="32">
        <v>500</v>
      </c>
      <c r="Q59" s="35">
        <v>20</v>
      </c>
      <c r="R59" s="41">
        <v>0.05</v>
      </c>
      <c r="S59" s="35">
        <v>9500</v>
      </c>
      <c r="T59" s="35">
        <v>10000</v>
      </c>
    </row>
    <row r="60" spans="1:20" x14ac:dyDescent="0.25">
      <c r="A60" s="32">
        <v>59</v>
      </c>
      <c r="B60" s="32" t="s">
        <v>64</v>
      </c>
      <c r="C60" s="32">
        <v>2026</v>
      </c>
      <c r="D60" s="33">
        <v>46027</v>
      </c>
      <c r="E60" s="32" t="s">
        <v>146</v>
      </c>
      <c r="F60" s="32" t="s">
        <v>135</v>
      </c>
      <c r="G60" s="40" t="s">
        <v>136</v>
      </c>
      <c r="H60" s="33">
        <v>46037</v>
      </c>
      <c r="J60" s="32" t="s">
        <v>56</v>
      </c>
      <c r="K60" s="36" t="s">
        <v>131</v>
      </c>
      <c r="L60" s="36" t="s">
        <v>122</v>
      </c>
      <c r="M60" s="32" t="s">
        <v>46</v>
      </c>
      <c r="N60" s="32" t="s">
        <v>65</v>
      </c>
      <c r="O60" s="35" t="s">
        <v>40</v>
      </c>
      <c r="P60" s="32">
        <v>30</v>
      </c>
      <c r="Q60" s="35">
        <v>40</v>
      </c>
      <c r="R60" s="41">
        <v>0.05</v>
      </c>
      <c r="S60" s="35">
        <v>1140</v>
      </c>
      <c r="T60" s="35">
        <v>1200</v>
      </c>
    </row>
    <row r="61" spans="1:20" x14ac:dyDescent="0.25">
      <c r="A61" s="32">
        <v>60</v>
      </c>
      <c r="B61" s="32" t="s">
        <v>64</v>
      </c>
      <c r="C61" s="32">
        <v>2026</v>
      </c>
      <c r="D61" s="33">
        <v>46027</v>
      </c>
      <c r="E61" s="32" t="s">
        <v>146</v>
      </c>
      <c r="F61" s="32" t="s">
        <v>135</v>
      </c>
      <c r="G61" s="40" t="s">
        <v>136</v>
      </c>
      <c r="H61" s="33">
        <v>46037</v>
      </c>
      <c r="J61" s="32" t="s">
        <v>56</v>
      </c>
      <c r="K61" s="36" t="s">
        <v>132</v>
      </c>
      <c r="L61" s="36" t="s">
        <v>122</v>
      </c>
      <c r="M61" s="32" t="s">
        <v>46</v>
      </c>
      <c r="N61" s="32" t="s">
        <v>65</v>
      </c>
      <c r="O61" s="35" t="s">
        <v>40</v>
      </c>
      <c r="P61" s="32">
        <v>250</v>
      </c>
      <c r="Q61" s="35">
        <v>70</v>
      </c>
      <c r="R61" s="41">
        <v>0.05</v>
      </c>
      <c r="S61" s="35">
        <v>16625</v>
      </c>
      <c r="T61" s="35">
        <v>17500</v>
      </c>
    </row>
    <row r="62" spans="1:20" x14ac:dyDescent="0.25">
      <c r="A62" s="32">
        <v>61</v>
      </c>
      <c r="B62" s="32" t="s">
        <v>64</v>
      </c>
      <c r="C62" s="32">
        <v>2026</v>
      </c>
      <c r="D62" s="33">
        <v>46027</v>
      </c>
      <c r="E62" s="32" t="s">
        <v>146</v>
      </c>
      <c r="F62" s="32" t="s">
        <v>139</v>
      </c>
      <c r="G62" s="40" t="s">
        <v>136</v>
      </c>
      <c r="H62" s="33">
        <v>46037</v>
      </c>
      <c r="J62" s="32" t="s">
        <v>56</v>
      </c>
      <c r="K62" s="36" t="s">
        <v>131</v>
      </c>
      <c r="L62" s="36" t="s">
        <v>122</v>
      </c>
      <c r="M62" s="32" t="s">
        <v>46</v>
      </c>
      <c r="N62" s="32" t="s">
        <v>65</v>
      </c>
      <c r="O62" s="35" t="s">
        <v>40</v>
      </c>
      <c r="P62" s="32">
        <v>50</v>
      </c>
      <c r="Q62" s="35">
        <v>40</v>
      </c>
      <c r="R62" s="41">
        <v>7.0000000000000007E-2</v>
      </c>
      <c r="S62" s="35">
        <v>1859.9999999999998</v>
      </c>
      <c r="T62" s="35">
        <v>2000</v>
      </c>
    </row>
    <row r="63" spans="1:20" x14ac:dyDescent="0.25">
      <c r="A63" s="32">
        <v>62</v>
      </c>
      <c r="B63" s="32" t="s">
        <v>64</v>
      </c>
      <c r="C63" s="32">
        <v>2026</v>
      </c>
      <c r="D63" s="33">
        <v>46027</v>
      </c>
      <c r="E63" s="32" t="s">
        <v>146</v>
      </c>
      <c r="F63" s="32" t="s">
        <v>139</v>
      </c>
      <c r="G63" s="40" t="s">
        <v>136</v>
      </c>
      <c r="H63" s="33">
        <v>46037</v>
      </c>
      <c r="J63" s="32" t="s">
        <v>56</v>
      </c>
      <c r="K63" s="36" t="s">
        <v>130</v>
      </c>
      <c r="L63" s="36" t="s">
        <v>122</v>
      </c>
      <c r="M63" s="32" t="s">
        <v>46</v>
      </c>
      <c r="N63" s="32" t="s">
        <v>65</v>
      </c>
      <c r="O63" s="35" t="s">
        <v>40</v>
      </c>
      <c r="P63" s="32">
        <v>100</v>
      </c>
      <c r="Q63" s="35">
        <v>100</v>
      </c>
      <c r="R63" s="41">
        <v>7.0000000000000007E-2</v>
      </c>
      <c r="S63" s="35">
        <v>9300</v>
      </c>
      <c r="T63" s="35">
        <v>10000</v>
      </c>
    </row>
    <row r="64" spans="1:20" x14ac:dyDescent="0.25">
      <c r="A64" s="32">
        <v>63</v>
      </c>
      <c r="B64" s="32" t="s">
        <v>64</v>
      </c>
      <c r="C64" s="32">
        <v>2026</v>
      </c>
      <c r="D64" s="33">
        <v>46027</v>
      </c>
      <c r="E64" s="32" t="s">
        <v>146</v>
      </c>
      <c r="F64" s="32" t="s">
        <v>139</v>
      </c>
      <c r="G64" s="40" t="s">
        <v>136</v>
      </c>
      <c r="H64" s="33">
        <v>46037</v>
      </c>
      <c r="J64" s="32" t="s">
        <v>56</v>
      </c>
      <c r="K64" s="36" t="s">
        <v>129</v>
      </c>
      <c r="L64" s="36" t="s">
        <v>122</v>
      </c>
      <c r="M64" s="32" t="s">
        <v>46</v>
      </c>
      <c r="N64" s="32" t="s">
        <v>65</v>
      </c>
      <c r="O64" s="35" t="s">
        <v>40</v>
      </c>
      <c r="P64" s="32">
        <v>500</v>
      </c>
      <c r="Q64" s="35">
        <v>20</v>
      </c>
      <c r="R64" s="41">
        <v>7.0000000000000007E-2</v>
      </c>
      <c r="S64" s="35">
        <v>9300</v>
      </c>
      <c r="T64" s="35">
        <v>10000</v>
      </c>
    </row>
    <row r="65" spans="1:20" x14ac:dyDescent="0.25">
      <c r="A65" s="32">
        <v>64</v>
      </c>
      <c r="B65" s="32" t="s">
        <v>64</v>
      </c>
      <c r="C65" s="32">
        <v>2026</v>
      </c>
      <c r="D65" s="33">
        <v>46027</v>
      </c>
      <c r="E65" s="32" t="s">
        <v>146</v>
      </c>
      <c r="F65" s="32" t="s">
        <v>139</v>
      </c>
      <c r="G65" s="40" t="s">
        <v>136</v>
      </c>
      <c r="H65" s="33">
        <v>46037</v>
      </c>
      <c r="J65" s="32" t="s">
        <v>56</v>
      </c>
      <c r="K65" s="36" t="s">
        <v>131</v>
      </c>
      <c r="L65" s="36" t="s">
        <v>122</v>
      </c>
      <c r="M65" s="32" t="s">
        <v>46</v>
      </c>
      <c r="N65" s="32" t="s">
        <v>65</v>
      </c>
      <c r="O65" s="35" t="s">
        <v>40</v>
      </c>
      <c r="P65" s="32">
        <v>30</v>
      </c>
      <c r="Q65" s="35">
        <v>40</v>
      </c>
      <c r="R65" s="41">
        <v>7.0000000000000007E-2</v>
      </c>
      <c r="S65" s="35">
        <v>1116</v>
      </c>
      <c r="T65" s="35">
        <v>1200</v>
      </c>
    </row>
    <row r="66" spans="1:20" x14ac:dyDescent="0.25">
      <c r="A66" s="32">
        <v>65</v>
      </c>
      <c r="B66" s="32" t="s">
        <v>64</v>
      </c>
      <c r="C66" s="32">
        <v>2026</v>
      </c>
      <c r="D66" s="33">
        <v>46027</v>
      </c>
      <c r="E66" s="32" t="s">
        <v>146</v>
      </c>
      <c r="F66" s="32" t="s">
        <v>139</v>
      </c>
      <c r="G66" s="40" t="s">
        <v>136</v>
      </c>
      <c r="H66" s="33">
        <v>46037</v>
      </c>
      <c r="J66" s="32" t="s">
        <v>56</v>
      </c>
      <c r="K66" s="36" t="s">
        <v>132</v>
      </c>
      <c r="L66" s="36" t="s">
        <v>122</v>
      </c>
      <c r="M66" s="32" t="s">
        <v>46</v>
      </c>
      <c r="N66" s="32" t="s">
        <v>65</v>
      </c>
      <c r="O66" s="35" t="s">
        <v>40</v>
      </c>
      <c r="P66" s="32">
        <v>250</v>
      </c>
      <c r="Q66" s="35">
        <v>70</v>
      </c>
      <c r="R66" s="41">
        <v>7.0000000000000007E-2</v>
      </c>
      <c r="S66" s="35">
        <v>16274.999999999998</v>
      </c>
      <c r="T66" s="35">
        <v>17500</v>
      </c>
    </row>
    <row r="67" spans="1:20" x14ac:dyDescent="0.25">
      <c r="A67" s="32">
        <v>66</v>
      </c>
      <c r="B67" s="32" t="s">
        <v>64</v>
      </c>
      <c r="C67" s="32">
        <v>2026</v>
      </c>
      <c r="D67" s="33">
        <v>46030</v>
      </c>
      <c r="E67" s="32" t="s">
        <v>148</v>
      </c>
      <c r="F67" s="32" t="s">
        <v>135</v>
      </c>
      <c r="G67" s="40" t="s">
        <v>136</v>
      </c>
      <c r="H67" s="33">
        <v>46042</v>
      </c>
      <c r="J67" s="32" t="s">
        <v>57</v>
      </c>
      <c r="K67" s="36" t="s">
        <v>128</v>
      </c>
      <c r="L67" s="36" t="s">
        <v>127</v>
      </c>
      <c r="M67" s="32" t="s">
        <v>46</v>
      </c>
      <c r="N67" s="32" t="s">
        <v>65</v>
      </c>
      <c r="O67" s="35" t="s">
        <v>40</v>
      </c>
      <c r="P67" s="32">
        <v>500</v>
      </c>
      <c r="Q67" s="35">
        <v>25</v>
      </c>
      <c r="R67" s="41">
        <v>0</v>
      </c>
      <c r="S67" s="35">
        <v>0</v>
      </c>
      <c r="T67" s="35">
        <v>12500</v>
      </c>
    </row>
    <row r="68" spans="1:20" x14ac:dyDescent="0.25">
      <c r="A68" s="32">
        <v>67</v>
      </c>
      <c r="B68" s="32" t="s">
        <v>64</v>
      </c>
      <c r="C68" s="32">
        <v>2026</v>
      </c>
      <c r="D68" s="33">
        <v>46030</v>
      </c>
      <c r="E68" s="32" t="s">
        <v>148</v>
      </c>
      <c r="F68" s="32" t="s">
        <v>135</v>
      </c>
      <c r="G68" s="40" t="s">
        <v>136</v>
      </c>
      <c r="H68" s="33">
        <v>46042</v>
      </c>
      <c r="J68" s="32" t="s">
        <v>57</v>
      </c>
      <c r="K68" s="36" t="s">
        <v>129</v>
      </c>
      <c r="L68" s="36" t="s">
        <v>127</v>
      </c>
      <c r="M68" s="32" t="s">
        <v>46</v>
      </c>
      <c r="N68" s="32" t="s">
        <v>65</v>
      </c>
      <c r="O68" s="35" t="s">
        <v>40</v>
      </c>
      <c r="P68" s="32">
        <v>1000</v>
      </c>
      <c r="Q68" s="35">
        <v>50</v>
      </c>
      <c r="R68" s="41">
        <v>0</v>
      </c>
      <c r="S68" s="35">
        <v>0</v>
      </c>
      <c r="T68" s="35">
        <v>50000</v>
      </c>
    </row>
    <row r="69" spans="1:20" x14ac:dyDescent="0.25">
      <c r="A69" s="32">
        <v>68</v>
      </c>
      <c r="B69" s="32" t="s">
        <v>64</v>
      </c>
      <c r="C69" s="32">
        <v>2026</v>
      </c>
      <c r="D69" s="33">
        <v>46030</v>
      </c>
      <c r="E69" s="32" t="s">
        <v>149</v>
      </c>
      <c r="F69" s="32" t="s">
        <v>135</v>
      </c>
      <c r="G69" s="40" t="s">
        <v>136</v>
      </c>
      <c r="H69" s="33">
        <v>46042</v>
      </c>
      <c r="J69" s="32" t="s">
        <v>57</v>
      </c>
      <c r="K69" s="36" t="s">
        <v>128</v>
      </c>
      <c r="L69" s="36" t="s">
        <v>116</v>
      </c>
      <c r="M69" s="32" t="s">
        <v>46</v>
      </c>
      <c r="N69" s="32" t="s">
        <v>65</v>
      </c>
      <c r="O69" s="35" t="s">
        <v>40</v>
      </c>
      <c r="P69" s="32">
        <v>500</v>
      </c>
      <c r="Q69" s="35">
        <v>25</v>
      </c>
      <c r="R69" s="41">
        <v>0</v>
      </c>
      <c r="S69" s="35">
        <v>0</v>
      </c>
      <c r="T69" s="35">
        <v>12500</v>
      </c>
    </row>
    <row r="70" spans="1:20" x14ac:dyDescent="0.25">
      <c r="A70" s="32">
        <v>69</v>
      </c>
      <c r="B70" s="32" t="s">
        <v>64</v>
      </c>
      <c r="C70" s="32">
        <v>2026</v>
      </c>
      <c r="D70" s="33">
        <v>46030</v>
      </c>
      <c r="E70" s="32" t="s">
        <v>149</v>
      </c>
      <c r="F70" s="32" t="s">
        <v>135</v>
      </c>
      <c r="G70" s="40" t="s">
        <v>136</v>
      </c>
      <c r="H70" s="33">
        <v>46042</v>
      </c>
      <c r="J70" s="32" t="s">
        <v>57</v>
      </c>
      <c r="K70" s="36" t="s">
        <v>129</v>
      </c>
      <c r="L70" s="36" t="s">
        <v>116</v>
      </c>
      <c r="M70" s="32" t="s">
        <v>46</v>
      </c>
      <c r="N70" s="32" t="s">
        <v>65</v>
      </c>
      <c r="O70" s="35" t="s">
        <v>40</v>
      </c>
      <c r="P70" s="32">
        <v>1000</v>
      </c>
      <c r="Q70" s="35">
        <v>50</v>
      </c>
      <c r="R70" s="41">
        <v>0</v>
      </c>
      <c r="S70" s="35">
        <v>0</v>
      </c>
      <c r="T70" s="35">
        <v>50000</v>
      </c>
    </row>
    <row r="71" spans="1:20" x14ac:dyDescent="0.25">
      <c r="A71" s="32">
        <v>70</v>
      </c>
      <c r="B71" s="32" t="s">
        <v>64</v>
      </c>
      <c r="C71" s="32">
        <v>2026</v>
      </c>
      <c r="D71" s="33">
        <v>46031</v>
      </c>
      <c r="E71" s="32" t="s">
        <v>150</v>
      </c>
      <c r="F71" s="32" t="s">
        <v>135</v>
      </c>
      <c r="G71" s="40" t="s">
        <v>136</v>
      </c>
      <c r="H71" s="33">
        <v>46037</v>
      </c>
      <c r="J71" s="32" t="s">
        <v>56</v>
      </c>
      <c r="K71" s="36" t="s">
        <v>129</v>
      </c>
      <c r="L71" s="36" t="s">
        <v>126</v>
      </c>
      <c r="M71" s="32" t="s">
        <v>46</v>
      </c>
      <c r="N71" s="32" t="s">
        <v>65</v>
      </c>
      <c r="O71" s="35" t="s">
        <v>40</v>
      </c>
      <c r="P71" s="32">
        <v>20</v>
      </c>
      <c r="Q71" s="35">
        <v>50</v>
      </c>
      <c r="R71" s="41">
        <v>0.05</v>
      </c>
      <c r="S71" s="35">
        <v>950</v>
      </c>
      <c r="T71" s="35">
        <v>1000</v>
      </c>
    </row>
    <row r="72" spans="1:20" x14ac:dyDescent="0.25">
      <c r="A72" s="32">
        <v>71</v>
      </c>
      <c r="B72" s="32" t="s">
        <v>64</v>
      </c>
      <c r="C72" s="32">
        <v>2026</v>
      </c>
      <c r="D72" s="33">
        <v>46031</v>
      </c>
      <c r="E72" s="32" t="s">
        <v>150</v>
      </c>
      <c r="F72" s="32" t="s">
        <v>135</v>
      </c>
      <c r="G72" s="40" t="s">
        <v>136</v>
      </c>
      <c r="H72" s="33">
        <v>46037</v>
      </c>
      <c r="J72" s="32" t="s">
        <v>56</v>
      </c>
      <c r="K72" s="36" t="s">
        <v>128</v>
      </c>
      <c r="L72" s="36" t="s">
        <v>126</v>
      </c>
      <c r="M72" s="32" t="s">
        <v>46</v>
      </c>
      <c r="N72" s="32" t="s">
        <v>65</v>
      </c>
      <c r="O72" s="35" t="s">
        <v>40</v>
      </c>
      <c r="P72" s="32">
        <v>100</v>
      </c>
      <c r="Q72" s="35">
        <v>150</v>
      </c>
      <c r="R72" s="41">
        <v>0.05</v>
      </c>
      <c r="S72" s="35">
        <v>14250</v>
      </c>
      <c r="T72" s="35">
        <v>15000</v>
      </c>
    </row>
    <row r="73" spans="1:20" x14ac:dyDescent="0.25">
      <c r="A73" s="32">
        <v>72</v>
      </c>
      <c r="B73" s="32" t="s">
        <v>64</v>
      </c>
      <c r="C73" s="32">
        <v>2026</v>
      </c>
      <c r="D73" s="33">
        <v>46031</v>
      </c>
      <c r="E73" s="32" t="s">
        <v>150</v>
      </c>
      <c r="F73" s="32" t="s">
        <v>139</v>
      </c>
      <c r="G73" s="40" t="s">
        <v>136</v>
      </c>
      <c r="H73" s="33">
        <v>46037</v>
      </c>
      <c r="J73" s="32" t="s">
        <v>56</v>
      </c>
      <c r="K73" s="36" t="s">
        <v>129</v>
      </c>
      <c r="L73" s="36" t="s">
        <v>126</v>
      </c>
      <c r="M73" s="32" t="s">
        <v>46</v>
      </c>
      <c r="N73" s="32" t="s">
        <v>65</v>
      </c>
      <c r="O73" s="35" t="s">
        <v>40</v>
      </c>
      <c r="P73" s="32">
        <v>20</v>
      </c>
      <c r="Q73" s="35">
        <v>50</v>
      </c>
      <c r="R73" s="41">
        <v>7.0000000000000007E-2</v>
      </c>
      <c r="S73" s="35">
        <v>929.99999999999989</v>
      </c>
      <c r="T73" s="35">
        <v>1000</v>
      </c>
    </row>
    <row r="74" spans="1:20" x14ac:dyDescent="0.25">
      <c r="A74" s="32">
        <v>73</v>
      </c>
      <c r="B74" s="32" t="s">
        <v>64</v>
      </c>
      <c r="C74" s="32">
        <v>2026</v>
      </c>
      <c r="D74" s="33">
        <v>46031</v>
      </c>
      <c r="E74" s="32" t="s">
        <v>150</v>
      </c>
      <c r="F74" s="32" t="s">
        <v>139</v>
      </c>
      <c r="G74" s="40" t="s">
        <v>136</v>
      </c>
      <c r="H74" s="33">
        <v>46037</v>
      </c>
      <c r="J74" s="32" t="s">
        <v>56</v>
      </c>
      <c r="K74" s="36" t="s">
        <v>128</v>
      </c>
      <c r="L74" s="36" t="s">
        <v>126</v>
      </c>
      <c r="M74" s="32" t="s">
        <v>46</v>
      </c>
      <c r="N74" s="32" t="s">
        <v>65</v>
      </c>
      <c r="O74" s="35" t="s">
        <v>40</v>
      </c>
      <c r="P74" s="32">
        <v>200</v>
      </c>
      <c r="Q74" s="35">
        <v>150</v>
      </c>
      <c r="R74" s="41">
        <v>7.0000000000000007E-2</v>
      </c>
      <c r="S74" s="35">
        <v>27899.999999999996</v>
      </c>
      <c r="T74" s="35">
        <v>30000</v>
      </c>
    </row>
    <row r="75" spans="1:20" x14ac:dyDescent="0.25">
      <c r="A75" s="32">
        <v>74</v>
      </c>
      <c r="B75" s="32" t="s">
        <v>64</v>
      </c>
      <c r="C75" s="32">
        <v>2026</v>
      </c>
      <c r="D75" s="33">
        <v>46031</v>
      </c>
      <c r="E75" s="32" t="s">
        <v>150</v>
      </c>
      <c r="F75" s="32" t="s">
        <v>139</v>
      </c>
      <c r="G75" s="40" t="s">
        <v>136</v>
      </c>
      <c r="H75" s="33">
        <v>46037</v>
      </c>
      <c r="J75" s="32" t="s">
        <v>56</v>
      </c>
      <c r="K75" s="36" t="s">
        <v>129</v>
      </c>
      <c r="L75" s="36" t="s">
        <v>126</v>
      </c>
      <c r="M75" s="32" t="s">
        <v>46</v>
      </c>
      <c r="N75" s="32" t="s">
        <v>65</v>
      </c>
      <c r="O75" s="35" t="s">
        <v>40</v>
      </c>
      <c r="P75" s="32">
        <v>150</v>
      </c>
      <c r="Q75" s="35">
        <v>25</v>
      </c>
      <c r="R75" s="41">
        <v>7.0000000000000007E-2</v>
      </c>
      <c r="S75" s="35">
        <v>3487.4999999999995</v>
      </c>
      <c r="T75" s="35">
        <v>3750</v>
      </c>
    </row>
    <row r="76" spans="1:20" x14ac:dyDescent="0.25">
      <c r="A76" s="32">
        <v>75</v>
      </c>
      <c r="B76" s="32" t="s">
        <v>64</v>
      </c>
      <c r="C76" s="32">
        <v>2026</v>
      </c>
      <c r="D76" s="33">
        <v>46031</v>
      </c>
      <c r="E76" s="32" t="s">
        <v>150</v>
      </c>
      <c r="F76" s="32" t="s">
        <v>135</v>
      </c>
      <c r="G76" s="40" t="s">
        <v>136</v>
      </c>
      <c r="H76" s="33">
        <v>46037</v>
      </c>
      <c r="J76" s="32" t="s">
        <v>56</v>
      </c>
      <c r="K76" s="36" t="s">
        <v>129</v>
      </c>
      <c r="L76" s="36" t="s">
        <v>133</v>
      </c>
      <c r="M76" s="32" t="s">
        <v>46</v>
      </c>
      <c r="N76" s="32" t="s">
        <v>65</v>
      </c>
      <c r="O76" s="35" t="s">
        <v>40</v>
      </c>
      <c r="P76" s="32">
        <v>20</v>
      </c>
      <c r="Q76" s="35">
        <v>50</v>
      </c>
      <c r="R76" s="41">
        <v>7.0000000000000007E-2</v>
      </c>
      <c r="S76" s="35">
        <v>929.99999999999989</v>
      </c>
      <c r="T76" s="35">
        <v>1000</v>
      </c>
    </row>
    <row r="77" spans="1:20" x14ac:dyDescent="0.25">
      <c r="A77" s="32">
        <v>76</v>
      </c>
      <c r="B77" s="32" t="s">
        <v>64</v>
      </c>
      <c r="C77" s="32">
        <v>2026</v>
      </c>
      <c r="D77" s="33">
        <v>46031</v>
      </c>
      <c r="E77" s="32" t="s">
        <v>150</v>
      </c>
      <c r="F77" s="32" t="s">
        <v>135</v>
      </c>
      <c r="G77" s="40" t="s">
        <v>136</v>
      </c>
      <c r="H77" s="33">
        <v>46037</v>
      </c>
      <c r="J77" s="32" t="s">
        <v>56</v>
      </c>
      <c r="K77" s="36" t="s">
        <v>128</v>
      </c>
      <c r="L77" s="36" t="s">
        <v>133</v>
      </c>
      <c r="M77" s="32" t="s">
        <v>46</v>
      </c>
      <c r="N77" s="32" t="s">
        <v>65</v>
      </c>
      <c r="O77" s="35" t="s">
        <v>40</v>
      </c>
      <c r="P77" s="32">
        <v>200</v>
      </c>
      <c r="Q77" s="35">
        <v>150</v>
      </c>
      <c r="R77" s="41">
        <v>7.0000000000000007E-2</v>
      </c>
      <c r="S77" s="35">
        <v>27899.999999999996</v>
      </c>
      <c r="T77" s="35">
        <v>30000</v>
      </c>
    </row>
    <row r="78" spans="1:20" ht="16.5" customHeight="1" x14ac:dyDescent="0.25">
      <c r="A78" s="32">
        <v>77</v>
      </c>
      <c r="B78" s="32" t="s">
        <v>64</v>
      </c>
      <c r="C78" s="32">
        <v>2026</v>
      </c>
      <c r="D78" s="33">
        <v>46031</v>
      </c>
      <c r="E78" s="32" t="s">
        <v>150</v>
      </c>
      <c r="F78" s="32" t="s">
        <v>135</v>
      </c>
      <c r="G78" s="40" t="s">
        <v>136</v>
      </c>
      <c r="H78" s="33">
        <v>46037</v>
      </c>
      <c r="J78" s="32" t="s">
        <v>56</v>
      </c>
      <c r="K78" s="36" t="s">
        <v>129</v>
      </c>
      <c r="L78" s="36" t="s">
        <v>133</v>
      </c>
      <c r="M78" s="32" t="s">
        <v>46</v>
      </c>
      <c r="N78" s="32" t="s">
        <v>65</v>
      </c>
      <c r="O78" s="35" t="s">
        <v>40</v>
      </c>
      <c r="P78" s="32">
        <v>150</v>
      </c>
      <c r="Q78" s="35">
        <v>25</v>
      </c>
      <c r="R78" s="41">
        <v>7.0000000000000007E-2</v>
      </c>
      <c r="S78" s="35">
        <v>3487.4999999999995</v>
      </c>
      <c r="T78" s="35">
        <v>3750</v>
      </c>
    </row>
    <row r="79" spans="1:20" x14ac:dyDescent="0.25">
      <c r="A79" s="32">
        <v>78</v>
      </c>
      <c r="B79" s="32" t="s">
        <v>64</v>
      </c>
      <c r="C79" s="32">
        <v>2026</v>
      </c>
      <c r="D79" s="33">
        <v>46031</v>
      </c>
      <c r="E79" s="32" t="s">
        <v>151</v>
      </c>
      <c r="F79" s="32" t="s">
        <v>135</v>
      </c>
      <c r="G79" s="40" t="s">
        <v>136</v>
      </c>
      <c r="H79" s="33">
        <v>46037</v>
      </c>
      <c r="J79" s="32" t="s">
        <v>56</v>
      </c>
      <c r="K79" s="36" t="s">
        <v>129</v>
      </c>
      <c r="L79" s="36" t="s">
        <v>122</v>
      </c>
      <c r="M79" s="32" t="s">
        <v>46</v>
      </c>
      <c r="N79" s="32" t="s">
        <v>65</v>
      </c>
      <c r="O79" s="35"/>
      <c r="P79" s="32">
        <v>20</v>
      </c>
      <c r="Q79" s="35">
        <v>55</v>
      </c>
      <c r="R79" s="41">
        <v>0.02</v>
      </c>
      <c r="S79" s="35">
        <v>1078</v>
      </c>
      <c r="T79" s="35">
        <v>1100</v>
      </c>
    </row>
    <row r="80" spans="1:20" x14ac:dyDescent="0.25">
      <c r="A80" s="32">
        <v>79</v>
      </c>
      <c r="B80" s="32" t="s">
        <v>64</v>
      </c>
      <c r="C80" s="32">
        <v>2026</v>
      </c>
      <c r="D80" s="33">
        <v>46031</v>
      </c>
      <c r="E80" s="32" t="s">
        <v>151</v>
      </c>
      <c r="F80" s="32" t="s">
        <v>135</v>
      </c>
      <c r="G80" s="40" t="s">
        <v>136</v>
      </c>
      <c r="H80" s="33">
        <v>46037</v>
      </c>
      <c r="J80" s="32" t="s">
        <v>56</v>
      </c>
      <c r="K80" s="36" t="s">
        <v>128</v>
      </c>
      <c r="L80" s="36" t="s">
        <v>122</v>
      </c>
      <c r="M80" s="32" t="s">
        <v>46</v>
      </c>
      <c r="N80" s="32" t="s">
        <v>65</v>
      </c>
      <c r="O80" s="35"/>
      <c r="P80" s="32">
        <v>200</v>
      </c>
      <c r="Q80" s="35">
        <v>250</v>
      </c>
      <c r="R80" s="41">
        <v>0.02</v>
      </c>
      <c r="S80" s="35">
        <v>49000</v>
      </c>
      <c r="T80" s="35">
        <v>50000</v>
      </c>
    </row>
    <row r="81" spans="1:20" x14ac:dyDescent="0.25">
      <c r="A81" s="32">
        <v>80</v>
      </c>
      <c r="B81" s="32" t="s">
        <v>64</v>
      </c>
      <c r="C81" s="32">
        <v>2026</v>
      </c>
      <c r="D81" s="33">
        <v>46031</v>
      </c>
      <c r="E81" s="32" t="s">
        <v>151</v>
      </c>
      <c r="F81" s="32" t="s">
        <v>135</v>
      </c>
      <c r="G81" s="40" t="s">
        <v>136</v>
      </c>
      <c r="H81" s="33">
        <v>46037</v>
      </c>
      <c r="J81" s="32" t="s">
        <v>56</v>
      </c>
      <c r="K81" s="36" t="s">
        <v>129</v>
      </c>
      <c r="L81" s="36" t="s">
        <v>122</v>
      </c>
      <c r="M81" s="32" t="s">
        <v>46</v>
      </c>
      <c r="N81" s="32" t="s">
        <v>65</v>
      </c>
      <c r="O81" s="35"/>
      <c r="P81" s="32">
        <v>150</v>
      </c>
      <c r="Q81" s="35">
        <v>36</v>
      </c>
      <c r="R81" s="41">
        <v>0.02</v>
      </c>
      <c r="S81" s="35">
        <v>5292</v>
      </c>
      <c r="T81" s="35">
        <v>5400</v>
      </c>
    </row>
  </sheetData>
  <phoneticPr fontId="14" type="noConversion"/>
  <conditionalFormatting sqref="N2:N1048576">
    <cfRule type="expression" dxfId="43" priority="1">
      <formula>$N2="Beklemede"</formula>
    </cfRule>
    <cfRule type="expression" dxfId="42" priority="2">
      <formula>$N2="İptal"</formula>
    </cfRule>
    <cfRule type="expression" dxfId="41" priority="3">
      <formula>$N2="Ana Depoda Var"</formula>
    </cfRule>
    <cfRule type="expression" dxfId="40" priority="5">
      <formula>$N2="Stokta Var"</formula>
    </cfRule>
  </conditionalFormatting>
  <dataValidations count="3">
    <dataValidation type="list" allowBlank="1" showInputMessage="1" showErrorMessage="1" sqref="M1:M81" xr:uid="{05602E31-8121-47AD-947D-384434EB237F}">
      <formula1>onemDerece</formula1>
    </dataValidation>
    <dataValidation type="list" allowBlank="1" showInputMessage="1" showErrorMessage="1" sqref="N1:N81" xr:uid="{D8577E56-FE6E-464C-AE95-24E05654793D}">
      <formula1>stok</formula1>
    </dataValidation>
    <dataValidation type="list" allowBlank="1" showInputMessage="1" showErrorMessage="1" sqref="O1:O81" xr:uid="{268924C4-E57C-4041-9662-6FBA4A166540}">
      <formula1>paraBirimi</formula1>
    </dataValidation>
  </dataValidations>
  <hyperlinks>
    <hyperlink ref="G2" r:id="rId1" xr:uid="{4358FAF4-F6A7-447C-96A9-772FE8712203}"/>
    <hyperlink ref="G3" r:id="rId2" xr:uid="{5766C550-3239-4D67-B30B-610A4DFEFAD6}"/>
    <hyperlink ref="G4" r:id="rId3" xr:uid="{7D4229C9-FCAD-4DFB-93E6-C997A58681E3}"/>
    <hyperlink ref="G5" r:id="rId4" xr:uid="{D299679E-521E-4FF9-BC93-D79A14CD383E}"/>
    <hyperlink ref="G6" r:id="rId5" xr:uid="{506F2BBF-693F-4567-864E-D420F0CD326C}"/>
    <hyperlink ref="G7" r:id="rId6" xr:uid="{ECF97F78-1893-4254-8F30-5E727FDDD363}"/>
    <hyperlink ref="G8" r:id="rId7" xr:uid="{5F5F0B09-DA37-467B-8648-D0E1DE486D8A}"/>
    <hyperlink ref="G9" r:id="rId8" xr:uid="{25C2B4A3-CBA7-4ABD-8222-8AA7B0C1CA54}"/>
    <hyperlink ref="G10" r:id="rId9" xr:uid="{A9BD101D-8DB8-4F0A-826D-3200C80D58DD}"/>
    <hyperlink ref="G11" r:id="rId10" xr:uid="{B81040A0-37A1-4DEC-8CA9-0453830FDF9B}"/>
    <hyperlink ref="G12" r:id="rId11" xr:uid="{0FCDF3CB-5D83-48B3-BA30-485C42F44FA8}"/>
    <hyperlink ref="G13" r:id="rId12" xr:uid="{AD09F011-D27B-4311-B3CD-D5D9EDB8FC14}"/>
    <hyperlink ref="G14" r:id="rId13" xr:uid="{B43BCA58-BFC8-4A7C-A56C-4473500A8AC7}"/>
    <hyperlink ref="G15" r:id="rId14" xr:uid="{032730CE-7F73-4C70-8048-B7DE610FB2F6}"/>
    <hyperlink ref="G16" r:id="rId15" xr:uid="{36792BEB-2071-47B5-A2BE-53B5B3879181}"/>
    <hyperlink ref="G17" r:id="rId16" xr:uid="{DAA5E9DB-6BC1-4D6C-872A-F1E0EA34A0E2}"/>
    <hyperlink ref="G18" r:id="rId17" xr:uid="{2344C32C-C55B-4E51-934B-E96B8ED49806}"/>
    <hyperlink ref="G19" r:id="rId18" xr:uid="{BF7363AB-C772-4111-B915-19A544636CEB}"/>
    <hyperlink ref="G20" r:id="rId19" xr:uid="{4D7740A0-A5EB-4984-BFB5-57682578DC83}"/>
    <hyperlink ref="G21" r:id="rId20" xr:uid="{E59A0E31-8A48-499F-908D-D6A92059988A}"/>
    <hyperlink ref="G22" r:id="rId21" xr:uid="{FB750ACE-E3D8-44EB-8518-018FEB6D0437}"/>
    <hyperlink ref="G23" r:id="rId22" xr:uid="{130B7F8F-8332-4CB2-B4AC-B290BAF80489}"/>
    <hyperlink ref="G24" r:id="rId23" xr:uid="{D5D8D516-0433-4E3F-8D70-6212649847A0}"/>
    <hyperlink ref="G25" r:id="rId24" xr:uid="{070870F0-6359-4035-BD3C-C7ED8678E8DF}"/>
    <hyperlink ref="G26" r:id="rId25" xr:uid="{001D6792-1E54-436C-BA42-C44F6A13BCCA}"/>
    <hyperlink ref="G27" r:id="rId26" xr:uid="{29364C54-57E1-4CCD-91D4-B3655EFE2177}"/>
    <hyperlink ref="G28" r:id="rId27" xr:uid="{15D5A7F1-FEB8-4692-8AFD-6CBFEC022EC4}"/>
    <hyperlink ref="G29" r:id="rId28" xr:uid="{03EC4836-AA53-4DCE-BE86-E187E3C320E1}"/>
    <hyperlink ref="G30" r:id="rId29" xr:uid="{62D979A2-DD90-494D-B3DB-BB4811B8A6AF}"/>
    <hyperlink ref="G31" r:id="rId30" xr:uid="{4AA50FAD-9B88-414C-9913-000D3A2200FD}"/>
    <hyperlink ref="G32" r:id="rId31" xr:uid="{A5209C3D-8708-455F-B952-130253A3867F}"/>
    <hyperlink ref="G33" r:id="rId32" xr:uid="{D94BFF6A-5D0D-4D34-A036-EA47D84D3382}"/>
    <hyperlink ref="G34" r:id="rId33" xr:uid="{C551E822-3319-47BD-B770-28FFFC5C85DD}"/>
    <hyperlink ref="G35" r:id="rId34" xr:uid="{BA671F1F-E6E8-4FEE-8891-AABC0DB4F232}"/>
    <hyperlink ref="G36" r:id="rId35" xr:uid="{3E5C259A-AD1C-4169-9875-F14CB3904E2F}"/>
    <hyperlink ref="G37" r:id="rId36" xr:uid="{B9A8B42B-34A3-4DBB-8A55-D15D585FCCCC}"/>
    <hyperlink ref="G38" r:id="rId37" xr:uid="{9243AAFF-D4CA-4E8B-BEF8-66BCE301676E}"/>
    <hyperlink ref="G39" r:id="rId38" xr:uid="{773342B4-C6DC-415A-8EEC-1C9E08638EEC}"/>
    <hyperlink ref="G40" r:id="rId39" xr:uid="{4B0E97E3-FE27-4ABB-84AB-EA3863026A47}"/>
    <hyperlink ref="G41" r:id="rId40" xr:uid="{A6681E4F-2125-43D7-9926-4DD06E32D408}"/>
    <hyperlink ref="G42" r:id="rId41" xr:uid="{926A05AD-CCF6-49D2-9459-B94D76A0ECB3}"/>
    <hyperlink ref="G43" r:id="rId42" xr:uid="{DAE78134-13AB-4ADD-B175-BE5F5AD0182F}"/>
    <hyperlink ref="G44" r:id="rId43" xr:uid="{C4CF9600-41DF-48DE-9E6A-C5108EC80CF2}"/>
    <hyperlink ref="G45" r:id="rId44" xr:uid="{94F1D8CE-3803-4120-A789-D50E5158965F}"/>
    <hyperlink ref="G46" r:id="rId45" xr:uid="{35B2C965-7010-457C-A218-AA12E1B81D8E}"/>
    <hyperlink ref="G47" r:id="rId46" xr:uid="{8DC240B7-67D3-4D15-9BFE-C5405EC1546C}"/>
    <hyperlink ref="G48" r:id="rId47" xr:uid="{74EA52E4-7B3F-46BE-8485-AFEB7AE58C22}"/>
    <hyperlink ref="G49" r:id="rId48" xr:uid="{7DB6A6FB-241E-4FA5-9B31-AA5284CF03AF}"/>
    <hyperlink ref="G50" r:id="rId49" xr:uid="{C29CD310-9E06-4778-ABA6-C1A77C2511DA}"/>
    <hyperlink ref="G51" r:id="rId50" xr:uid="{EAFC0AD3-B8DD-40CF-8D5E-FDEC402A43B1}"/>
    <hyperlink ref="G52" r:id="rId51" xr:uid="{113FD94A-1C56-45C3-A958-9BB23485972B}"/>
    <hyperlink ref="G53" r:id="rId52" xr:uid="{130B207E-D3D7-45B9-A666-FE9BD765159B}"/>
    <hyperlink ref="G54" r:id="rId53" xr:uid="{B30DEA92-FC75-4E95-BF5A-CA6903AC8E17}"/>
    <hyperlink ref="G55" r:id="rId54" xr:uid="{2EEF5937-D6DB-4B73-A79E-7E7AA51BFDF8}"/>
    <hyperlink ref="G56" r:id="rId55" xr:uid="{330DB991-FE82-4526-ABE7-90CC6AD3AB65}"/>
    <hyperlink ref="G57" r:id="rId56" xr:uid="{AF3ECAE4-3C4C-407B-92B8-1FBFB8060225}"/>
    <hyperlink ref="G58" r:id="rId57" xr:uid="{8777A632-8AC1-4422-9758-CD0F63556644}"/>
    <hyperlink ref="G59" r:id="rId58" xr:uid="{776BBF09-0240-4E51-8A3E-7AEF1EB1621B}"/>
    <hyperlink ref="G60" r:id="rId59" xr:uid="{6B5E0148-FF64-4CAB-833F-74F3BDC10DF2}"/>
    <hyperlink ref="G61" r:id="rId60" xr:uid="{0F8E1230-8EDF-4E33-BDA9-946F6D3804A6}"/>
    <hyperlink ref="G62" r:id="rId61" xr:uid="{954B41E9-477B-468C-A2B1-6425A0A3772F}"/>
    <hyperlink ref="G63" r:id="rId62" xr:uid="{136827E5-C2EE-495D-8DB4-BEEC990F65B6}"/>
    <hyperlink ref="G64" r:id="rId63" xr:uid="{3A14DFD2-32F5-4389-A10E-A23823276959}"/>
    <hyperlink ref="G65" r:id="rId64" xr:uid="{B9C48BB9-F355-45E6-B502-0F54533929BA}"/>
    <hyperlink ref="G66" r:id="rId65" xr:uid="{07886FA9-FA34-4345-88DD-31D85889518B}"/>
    <hyperlink ref="G67" r:id="rId66" xr:uid="{01AC0C96-1E08-42F6-948E-DD7CAD96A9EB}"/>
    <hyperlink ref="G68" r:id="rId67" xr:uid="{721B913A-104F-494A-9DD5-AF20E803BBEE}"/>
    <hyperlink ref="G69" r:id="rId68" xr:uid="{26C8B9A3-EF20-42E6-AC22-4EAEAFD0BA53}"/>
    <hyperlink ref="G70" r:id="rId69" xr:uid="{F3DA952F-720B-4C58-9815-6464D966FB92}"/>
    <hyperlink ref="G71" r:id="rId70" xr:uid="{A25E0E52-A5E7-42AD-BC1B-39D15834192C}"/>
    <hyperlink ref="G72" r:id="rId71" xr:uid="{59A39BC5-C693-44FC-A2F1-FE29C512C986}"/>
    <hyperlink ref="G73" r:id="rId72" xr:uid="{0664AE35-34A9-4C60-AC3C-4351DB42A703}"/>
    <hyperlink ref="G74" r:id="rId73" xr:uid="{6F888F80-8F40-414A-BAE2-B1BD71D59D69}"/>
    <hyperlink ref="G75" r:id="rId74" xr:uid="{2D94DCA1-1212-48A8-BF10-13FF4798E54E}"/>
    <hyperlink ref="G76" r:id="rId75" xr:uid="{47D3854D-496D-43BE-AE03-0F5DA3E08593}"/>
    <hyperlink ref="G77" r:id="rId76" xr:uid="{FA822FE5-DF8B-48A3-9BFA-C8A270CAAD32}"/>
    <hyperlink ref="G78" r:id="rId77" xr:uid="{E4D3FAA9-69A3-4CDC-9485-F80C188A8AB8}"/>
    <hyperlink ref="G79" r:id="rId78" xr:uid="{E80CB2BB-20CA-4EC9-977F-3F4CEDCBE606}"/>
    <hyperlink ref="G80" r:id="rId79" xr:uid="{FD6983DD-4938-416D-BF42-3D8EA95A5BB2}"/>
    <hyperlink ref="G81" r:id="rId80" xr:uid="{2FBB4CC0-EFA4-41BE-8E6A-6F8711FD9D8B}"/>
  </hyperlinks>
  <pageMargins left="0.7" right="0.7" top="0.75" bottom="0.75" header="0.3" footer="0.3"/>
  <tableParts count="1">
    <tablePart r:id="rId8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06BE1-8A26-4BA6-9C92-5EBC8A7C3A9E}">
  <sheetPr codeName="Sayfa8"/>
  <dimension ref="A1:N16"/>
  <sheetViews>
    <sheetView workbookViewId="0">
      <selection activeCell="D2" sqref="D2"/>
    </sheetView>
  </sheetViews>
  <sheetFormatPr defaultRowHeight="15" x14ac:dyDescent="0.25"/>
  <cols>
    <col min="1" max="1" width="6" style="1" customWidth="1"/>
    <col min="2" max="2" width="17.140625" style="1" customWidth="1"/>
    <col min="3" max="3" width="16" style="1" bestFit="1" customWidth="1"/>
    <col min="4" max="4" width="15.28515625" style="1" bestFit="1" customWidth="1"/>
    <col min="5" max="5" width="18.42578125" style="1" customWidth="1"/>
    <col min="6" max="6" width="14.7109375" style="1" customWidth="1"/>
    <col min="7" max="7" width="13" style="1" customWidth="1"/>
    <col min="8" max="8" width="11.140625" style="1" bestFit="1" customWidth="1"/>
    <col min="10" max="10" width="11.85546875" customWidth="1"/>
    <col min="11" max="11" width="14.85546875" customWidth="1"/>
    <col min="12" max="12" width="38.28515625" customWidth="1"/>
  </cols>
  <sheetData>
    <row r="1" spans="1:14" x14ac:dyDescent="0.25">
      <c r="A1" s="30" t="s">
        <v>24</v>
      </c>
      <c r="B1" s="30" t="s">
        <v>6</v>
      </c>
      <c r="C1" s="30" t="s">
        <v>25</v>
      </c>
      <c r="D1" s="30" t="s">
        <v>152</v>
      </c>
      <c r="E1" s="30" t="s">
        <v>9</v>
      </c>
      <c r="F1" s="30" t="s">
        <v>8</v>
      </c>
      <c r="G1" s="30" t="s">
        <v>4</v>
      </c>
      <c r="H1" s="30" t="s">
        <v>43</v>
      </c>
      <c r="I1" s="30" t="s">
        <v>101</v>
      </c>
      <c r="J1" s="30" t="s">
        <v>102</v>
      </c>
      <c r="K1" s="30" t="s">
        <v>113</v>
      </c>
      <c r="L1" s="30" t="s">
        <v>114</v>
      </c>
    </row>
    <row r="2" spans="1:14" x14ac:dyDescent="0.25">
      <c r="A2" s="29"/>
      <c r="B2" s="29"/>
      <c r="C2" s="29"/>
      <c r="D2" s="29"/>
      <c r="E2" s="29"/>
      <c r="F2" s="29"/>
      <c r="G2" s="29"/>
      <c r="H2" s="29"/>
      <c r="I2" s="1"/>
      <c r="J2" s="1"/>
      <c r="K2" s="1"/>
      <c r="L2" s="1"/>
    </row>
    <row r="3" spans="1:14" x14ac:dyDescent="0.25">
      <c r="A3" s="1">
        <v>1</v>
      </c>
      <c r="B3" s="1" t="s">
        <v>46</v>
      </c>
      <c r="C3" s="1" t="s">
        <v>51</v>
      </c>
      <c r="D3" s="1" t="s">
        <v>82</v>
      </c>
      <c r="E3" s="1" t="s">
        <v>54</v>
      </c>
      <c r="F3" s="1" t="s">
        <v>56</v>
      </c>
      <c r="G3" s="1" t="s">
        <v>40</v>
      </c>
      <c r="H3" s="1" t="s">
        <v>60</v>
      </c>
      <c r="I3" s="1" t="s">
        <v>88</v>
      </c>
      <c r="J3" s="1" t="s">
        <v>88</v>
      </c>
      <c r="K3" s="1" t="s">
        <v>115</v>
      </c>
      <c r="L3" s="1" t="s">
        <v>128</v>
      </c>
      <c r="N3" s="69"/>
    </row>
    <row r="4" spans="1:14" x14ac:dyDescent="0.25">
      <c r="A4" s="1">
        <v>2</v>
      </c>
      <c r="B4" s="1" t="s">
        <v>47</v>
      </c>
      <c r="C4" s="1" t="s">
        <v>50</v>
      </c>
      <c r="D4" s="1" t="s">
        <v>85</v>
      </c>
      <c r="E4" s="1" t="s">
        <v>55</v>
      </c>
      <c r="F4" s="1" t="s">
        <v>57</v>
      </c>
      <c r="G4" s="1" t="s">
        <v>58</v>
      </c>
      <c r="H4" s="1" t="s">
        <v>61</v>
      </c>
      <c r="I4" s="1">
        <v>2025</v>
      </c>
      <c r="J4" s="1" t="s">
        <v>64</v>
      </c>
      <c r="K4" s="1" t="s">
        <v>127</v>
      </c>
      <c r="L4" s="1" t="s">
        <v>129</v>
      </c>
    </row>
    <row r="5" spans="1:14" x14ac:dyDescent="0.25">
      <c r="A5" s="1">
        <v>3</v>
      </c>
      <c r="B5" s="1" t="s">
        <v>48</v>
      </c>
      <c r="C5" s="1" t="s">
        <v>52</v>
      </c>
      <c r="D5" s="1" t="s">
        <v>83</v>
      </c>
      <c r="G5" s="1" t="s">
        <v>59</v>
      </c>
      <c r="I5" s="1">
        <v>2026</v>
      </c>
      <c r="J5" s="1" t="s">
        <v>103</v>
      </c>
      <c r="K5" s="1" t="s">
        <v>116</v>
      </c>
      <c r="L5" s="1" t="s">
        <v>130</v>
      </c>
    </row>
    <row r="6" spans="1:14" x14ac:dyDescent="0.25">
      <c r="A6" s="1">
        <v>4</v>
      </c>
      <c r="B6" s="1" t="s">
        <v>49</v>
      </c>
      <c r="C6" s="1" t="s">
        <v>53</v>
      </c>
      <c r="D6" s="1" t="s">
        <v>65</v>
      </c>
      <c r="I6" s="1">
        <v>2027</v>
      </c>
      <c r="J6" s="1" t="s">
        <v>104</v>
      </c>
      <c r="K6" s="1" t="s">
        <v>117</v>
      </c>
      <c r="L6" s="1" t="s">
        <v>131</v>
      </c>
    </row>
    <row r="7" spans="1:14" x14ac:dyDescent="0.25">
      <c r="A7" s="1">
        <v>5</v>
      </c>
      <c r="C7" s="1" t="s">
        <v>62</v>
      </c>
      <c r="D7" s="1" t="s">
        <v>84</v>
      </c>
      <c r="I7" s="1">
        <v>2028</v>
      </c>
      <c r="J7" s="1" t="s">
        <v>105</v>
      </c>
      <c r="K7" s="1" t="s">
        <v>118</v>
      </c>
      <c r="L7" s="1" t="s">
        <v>132</v>
      </c>
    </row>
    <row r="8" spans="1:14" x14ac:dyDescent="0.25">
      <c r="A8" s="1">
        <v>6</v>
      </c>
      <c r="C8" s="1" t="s">
        <v>68</v>
      </c>
      <c r="I8" s="1"/>
      <c r="J8" s="1" t="s">
        <v>106</v>
      </c>
      <c r="K8" s="1" t="s">
        <v>119</v>
      </c>
      <c r="L8" s="1"/>
    </row>
    <row r="9" spans="1:14" x14ac:dyDescent="0.25">
      <c r="A9" s="1">
        <v>7</v>
      </c>
      <c r="C9" s="1" t="s">
        <v>65</v>
      </c>
      <c r="I9" s="1"/>
      <c r="J9" s="1" t="s">
        <v>107</v>
      </c>
      <c r="K9" s="1" t="s">
        <v>120</v>
      </c>
      <c r="L9" s="1"/>
    </row>
    <row r="10" spans="1:14" x14ac:dyDescent="0.25">
      <c r="A10" s="1">
        <v>8</v>
      </c>
      <c r="I10" s="1"/>
      <c r="J10" s="1" t="s">
        <v>108</v>
      </c>
      <c r="K10" s="1" t="s">
        <v>121</v>
      </c>
      <c r="L10" s="1"/>
    </row>
    <row r="11" spans="1:14" x14ac:dyDescent="0.25">
      <c r="A11" s="1">
        <v>9</v>
      </c>
      <c r="I11" s="1"/>
      <c r="J11" s="1" t="s">
        <v>109</v>
      </c>
      <c r="K11" s="1" t="s">
        <v>122</v>
      </c>
      <c r="L11" s="1"/>
    </row>
    <row r="12" spans="1:14" x14ac:dyDescent="0.25">
      <c r="A12" s="1">
        <v>10</v>
      </c>
      <c r="I12" s="1"/>
      <c r="J12" s="1" t="s">
        <v>110</v>
      </c>
      <c r="K12" s="1" t="s">
        <v>123</v>
      </c>
      <c r="L12" s="1"/>
    </row>
    <row r="13" spans="1:14" x14ac:dyDescent="0.25">
      <c r="A13" s="1">
        <v>11</v>
      </c>
      <c r="I13" s="1"/>
      <c r="J13" s="1" t="s">
        <v>111</v>
      </c>
      <c r="K13" s="1" t="s">
        <v>124</v>
      </c>
      <c r="L13" s="1"/>
    </row>
    <row r="14" spans="1:14" x14ac:dyDescent="0.25">
      <c r="A14" s="1">
        <v>12</v>
      </c>
      <c r="I14" s="1"/>
      <c r="J14" s="1" t="s">
        <v>112</v>
      </c>
      <c r="K14" s="1" t="s">
        <v>125</v>
      </c>
      <c r="L14" s="1"/>
    </row>
    <row r="15" spans="1:14" x14ac:dyDescent="0.25">
      <c r="A15" s="1">
        <v>13</v>
      </c>
      <c r="I15" s="1"/>
      <c r="J15" s="1" t="s">
        <v>100</v>
      </c>
      <c r="K15" s="1" t="s">
        <v>126</v>
      </c>
      <c r="L15" s="1"/>
    </row>
    <row r="16" spans="1:14" x14ac:dyDescent="0.25">
      <c r="I16" s="1"/>
      <c r="J16" s="1"/>
      <c r="K16" s="1" t="s">
        <v>133</v>
      </c>
      <c r="L16" s="1"/>
    </row>
  </sheetData>
  <phoneticPr fontId="14"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10</vt:i4>
      </vt:variant>
    </vt:vector>
  </HeadingPairs>
  <TitlesOfParts>
    <vt:vector size="15" baseType="lpstr">
      <vt:lpstr>Dashboard</vt:lpstr>
      <vt:lpstr>Müşteri Teklif Oluşturma Formu</vt:lpstr>
      <vt:lpstr>Genel Müşteri Teklif Özeti</vt:lpstr>
      <vt:lpstr>Birim Bazında MüşeriTeklifÖzeti</vt:lpstr>
      <vt:lpstr>Ayarlar</vt:lpstr>
      <vt:lpstr>Aylar</vt:lpstr>
      <vt:lpstr>durum</vt:lpstr>
      <vt:lpstr>onemDerece</vt:lpstr>
      <vt:lpstr>paraBirimi</vt:lpstr>
      <vt:lpstr>sorumlu</vt:lpstr>
      <vt:lpstr>stok</vt:lpstr>
      <vt:lpstr>teklifVeren</vt:lpstr>
      <vt:lpstr>unvan</vt:lpstr>
      <vt:lpstr>'Müşteri Teklif Oluşturma Formu'!Yazdırma_Alanı</vt:lpstr>
      <vt:lpstr>Yillar2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Osman Yusupov</dc:creator>
  <cp:lastModifiedBy>Osman Yusupov</cp:lastModifiedBy>
  <cp:lastPrinted>2026-01-08T22:39:15Z</cp:lastPrinted>
  <dcterms:created xsi:type="dcterms:W3CDTF">2025-12-29T14:28:58Z</dcterms:created>
  <dcterms:modified xsi:type="dcterms:W3CDTF">2026-01-14T06:56:57Z</dcterms:modified>
</cp:coreProperties>
</file>